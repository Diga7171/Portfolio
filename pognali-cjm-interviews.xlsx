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Гайд интервью" sheetId="1" state="visible" r:id="rId3"/>
    <sheet name="Респонденты" sheetId="2" state="visible" r:id="rId4"/>
    <sheet name="Расшифровки" sheetId="3" state="visible" r:id="rId5"/>
    <sheet name="Кодирование" sheetId="4" state="visible" r:id="rId6"/>
    <sheet name="Проблемы" sheetId="5" state="visible" r:id="rId7"/>
    <sheet name="Сводка" sheetId="6" state="visible" r:id="rId8"/>
    <sheet name="Каналы" sheetId="7" state="visible" r:id="rId9"/>
    <sheet name="CJM" sheetId="8" state="visible" r:id="rId10"/>
  </sheets>
  <definedNames>
    <definedName function="false" hidden="true" localSheetId="2" name="_xlnm._FilterDatabase" vbProcedure="false">Расшифровки!$A$4:$F$136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<sst xmlns="http://schemas.openxmlformats.org/spreadsheetml/2006/main" count="1104" uniqueCount="448">
  <si>
    <t xml:space="preserve">«Погнали!»: гайд глубинного интервью</t>
  </si>
  <si>
    <t xml:space="preserve">12 интервью, сентябрь 2026, 35–50 минут</t>
  </si>
  <si>
    <t xml:space="preserve">Цель</t>
  </si>
  <si>
    <t xml:space="preserve">Понять, как люди планируют путешествия, ищут попутчиков и публикуют туристический контент; выявить скрытые потребности и стоп-факторы</t>
  </si>
  <si>
    <t xml:space="preserve">Аудитория</t>
  </si>
  <si>
    <t xml:space="preserve">Активные путешественники, ядро 35–55 лет; разные уровни опыта (новички, средние, опытные)</t>
  </si>
  <si>
    <t xml:space="preserve">Выборка</t>
  </si>
  <si>
    <t xml:space="preserve">12 респондентов: 10 из ядра 35–55 лет, 2 за его пределами (29 и 33 года) для сравнения; 4 города-миллионника и Краснодар, Воронеж, Нижний Новгород, Самара</t>
  </si>
  <si>
    <t xml:space="preserve">Формат</t>
  </si>
  <si>
    <t xml:space="preserve">Глубинное интервью 35–50 минут в Zoom или по телефону, аудиозапись с согласия респондента</t>
  </si>
  <si>
    <t xml:space="preserve">Темы</t>
  </si>
  <si>
    <t xml:space="preserve">1) Как люди планируют путешествия; 2) Поиск попутчиков: кто, где, зачем; 3) Публикация контента: мотивы, барьеры, площадки; 4) Бронирование и конкуренты</t>
  </si>
  <si>
    <t xml:space="preserve">№</t>
  </si>
  <si>
    <t xml:space="preserve">Этап CJM</t>
  </si>
  <si>
    <t xml:space="preserve">Вопрос</t>
  </si>
  <si>
    <t xml:space="preserve">Зарождение идеи</t>
  </si>
  <si>
    <t xml:space="preserve">Расскажите про последнюю поездку: как появилась идея куда-то поехать?</t>
  </si>
  <si>
    <t xml:space="preserve">Вдохновение</t>
  </si>
  <si>
    <t xml:space="preserve">Где вы искали идеи и вдохновение? Что смотрели, читали, у кого спрашивали?</t>
  </si>
  <si>
    <t xml:space="preserve">Выбор направления</t>
  </si>
  <si>
    <t xml:space="preserve">Как выбирали направление? Что сравнивали и чему доверяли?</t>
  </si>
  <si>
    <t xml:space="preserve">Попутчики</t>
  </si>
  <si>
    <t xml:space="preserve">Ездите ли вы с попутчиками? Искали ли кого-то специально: где и как?</t>
  </si>
  <si>
    <t xml:space="preserve">Что вас пугает или останавливает при поиске попутчика?</t>
  </si>
  <si>
    <t xml:space="preserve">Бронирование</t>
  </si>
  <si>
    <t xml:space="preserve">Как бронировали жильё, билеты, экскурсии? Что было неудобно?</t>
  </si>
  <si>
    <t xml:space="preserve">Поездка</t>
  </si>
  <si>
    <t xml:space="preserve">Что во время поездки шло не по плану или было сложным?</t>
  </si>
  <si>
    <t xml:space="preserve">После поездки</t>
  </si>
  <si>
    <t xml:space="preserve">Публикуете ли вы что-то о поездках? Где и зачем?</t>
  </si>
  <si>
    <t xml:space="preserve">Что мешает публиковать или разочаровывает в этом?</t>
  </si>
  <si>
    <t xml:space="preserve">Что вы делаете после возвращения: контакты, отзывы, планы на следующую?</t>
  </si>
  <si>
    <t xml:space="preserve">Весь путь</t>
  </si>
  <si>
    <t xml:space="preserve">Какой сервис идеально помог бы вам от идеи до поездки?</t>
  </si>
  <si>
    <t xml:space="preserve">Респонденты</t>
  </si>
  <si>
    <t xml:space="preserve">Список участников интервью</t>
  </si>
  <si>
    <t xml:space="preserve">ID</t>
  </si>
  <si>
    <t xml:space="preserve">Имя</t>
  </si>
  <si>
    <t xml:space="preserve">Возраст</t>
  </si>
  <si>
    <t xml:space="preserve">Город</t>
  </si>
  <si>
    <t xml:space="preserve">Профессия</t>
  </si>
  <si>
    <t xml:space="preserve">Семья</t>
  </si>
  <si>
    <t xml:space="preserve">Поездок в год</t>
  </si>
  <si>
    <t xml:space="preserve">Сегмент</t>
  </si>
  <si>
    <t xml:space="preserve">Формат путешествий</t>
  </si>
  <si>
    <t xml:space="preserve">Дата интервью</t>
  </si>
  <si>
    <t xml:space="preserve">Длительность, мин</t>
  </si>
  <si>
    <t xml:space="preserve">Формат связи</t>
  </si>
  <si>
    <t xml:space="preserve">R1</t>
  </si>
  <si>
    <t xml:space="preserve">Елена К.</t>
  </si>
  <si>
    <t xml:space="preserve">Москва</t>
  </si>
  <si>
    <t xml:space="preserve">Руководитель отдела маркетинга</t>
  </si>
  <si>
    <t xml:space="preserve">Замужем, сын 11 лет</t>
  </si>
  <si>
    <t xml:space="preserve">Опытный</t>
  </si>
  <si>
    <t xml:space="preserve">Семейные поездки, выходные</t>
  </si>
  <si>
    <t xml:space="preserve">15.09.2026</t>
  </si>
  <si>
    <t xml:space="preserve">Zoom</t>
  </si>
  <si>
    <t xml:space="preserve">R2</t>
  </si>
  <si>
    <t xml:space="preserve">Андрей М.</t>
  </si>
  <si>
    <t xml:space="preserve">Санкт-Петербург</t>
  </si>
  <si>
    <t xml:space="preserve">IT-директор</t>
  </si>
  <si>
    <t xml:space="preserve">Женат</t>
  </si>
  <si>
    <t xml:space="preserve">Хайкинг, города, с друзьями</t>
  </si>
  <si>
    <t xml:space="preserve">R3</t>
  </si>
  <si>
    <t xml:space="preserve">Марина Л.</t>
  </si>
  <si>
    <t xml:space="preserve">Казань</t>
  </si>
  <si>
    <t xml:space="preserve">Главный бухгалтер</t>
  </si>
  <si>
    <t xml:space="preserve">В разводе</t>
  </si>
  <si>
    <t xml:space="preserve">Новичок</t>
  </si>
  <si>
    <t xml:space="preserve">Раньше только через турагентство</t>
  </si>
  <si>
    <t xml:space="preserve">16.09.2026</t>
  </si>
  <si>
    <t xml:space="preserve">Телефон</t>
  </si>
  <si>
    <t xml:space="preserve">R4</t>
  </si>
  <si>
    <t xml:space="preserve">Сергей В.</t>
  </si>
  <si>
    <t xml:space="preserve">Екатеринбург</t>
  </si>
  <si>
    <t xml:space="preserve">Владелец автосервиса</t>
  </si>
  <si>
    <t xml:space="preserve">Автопутешествия</t>
  </si>
  <si>
    <t xml:space="preserve">17.09.2026</t>
  </si>
  <si>
    <t xml:space="preserve">R5</t>
  </si>
  <si>
    <t xml:space="preserve">Ольга Т.</t>
  </si>
  <si>
    <t xml:space="preserve">Новосибирск</t>
  </si>
  <si>
    <t xml:space="preserve">Врач-терапевт</t>
  </si>
  <si>
    <t xml:space="preserve">Не замужем</t>
  </si>
  <si>
    <t xml:space="preserve">Средний</t>
  </si>
  <si>
    <t xml:space="preserve">Море, отдых, хочет компанию</t>
  </si>
  <si>
    <t xml:space="preserve">18.09.2026</t>
  </si>
  <si>
    <t xml:space="preserve">R6</t>
  </si>
  <si>
    <t xml:space="preserve">Дмитрий Ф.</t>
  </si>
  <si>
    <t xml:space="preserve">Менеджер по продажам</t>
  </si>
  <si>
    <t xml:space="preserve">Город + пляж, с женой и друзьями</t>
  </si>
  <si>
    <t xml:space="preserve">19.09.2026</t>
  </si>
  <si>
    <t xml:space="preserve">R7</t>
  </si>
  <si>
    <t xml:space="preserve">Татьяна Н.</t>
  </si>
  <si>
    <t xml:space="preserve">Краснодар</t>
  </si>
  <si>
    <t xml:space="preserve">Учитель</t>
  </si>
  <si>
    <t xml:space="preserve">Замужем</t>
  </si>
  <si>
    <t xml:space="preserve">Экскурсионные поездки, групповые</t>
  </si>
  <si>
    <t xml:space="preserve">21.09.2026</t>
  </si>
  <si>
    <t xml:space="preserve">R8</t>
  </si>
  <si>
    <t xml:space="preserve">Алексей Р.</t>
  </si>
  <si>
    <t xml:space="preserve">Нижний Новгород</t>
  </si>
  <si>
    <t xml:space="preserve">Инженер</t>
  </si>
  <si>
    <t xml:space="preserve">Походы, треккинг</t>
  </si>
  <si>
    <t xml:space="preserve">22.09.2026</t>
  </si>
  <si>
    <t xml:space="preserve">R9</t>
  </si>
  <si>
    <t xml:space="preserve">Наталья С.</t>
  </si>
  <si>
    <t xml:space="preserve">Самара</t>
  </si>
  <si>
    <t xml:space="preserve">HR-директор</t>
  </si>
  <si>
    <t xml:space="preserve">Соло-путешествия</t>
  </si>
  <si>
    <t xml:space="preserve">23.09.2026</t>
  </si>
  <si>
    <t xml:space="preserve">R10</t>
  </si>
  <si>
    <t xml:space="preserve">Игорь Б.</t>
  </si>
  <si>
    <t xml:space="preserve">Юрист</t>
  </si>
  <si>
    <t xml:space="preserve">Женат, двое детей</t>
  </si>
  <si>
    <t xml:space="preserve">Семейный отдых</t>
  </si>
  <si>
    <t xml:space="preserve">24.09.2026</t>
  </si>
  <si>
    <t xml:space="preserve">R11</t>
  </si>
  <si>
    <t xml:space="preserve">Юлия Г.</t>
  </si>
  <si>
    <t xml:space="preserve">Дизайнер</t>
  </si>
  <si>
    <t xml:space="preserve">Города, короткие поездки, блог</t>
  </si>
  <si>
    <t xml:space="preserve">25.09.2026</t>
  </si>
  <si>
    <t xml:space="preserve">R12</t>
  </si>
  <si>
    <t xml:space="preserve">Павел Д.</t>
  </si>
  <si>
    <t xml:space="preserve">Воронеж</t>
  </si>
  <si>
    <t xml:space="preserve">Разработчик</t>
  </si>
  <si>
    <t xml:space="preserve">Не женат</t>
  </si>
  <si>
    <t xml:space="preserve">Первая самостоятельная поездка</t>
  </si>
  <si>
    <t xml:space="preserve">26.09.2026</t>
  </si>
  <si>
    <t xml:space="preserve">Всего респондентов</t>
  </si>
  <si>
    <t xml:space="preserve">В ядре 35–55 лет</t>
  </si>
  <si>
    <t xml:space="preserve">Средний возраст</t>
  </si>
  <si>
    <t xml:space="preserve">Расшифровки интервью</t>
  </si>
  <si>
    <t xml:space="preserve">Ответы респондентов по вопросам гайда</t>
  </si>
  <si>
    <t xml:space="preserve">Респондент</t>
  </si>
  <si>
    <t xml:space="preserve">Вопрос №</t>
  </si>
  <si>
    <t xml:space="preserve">Ответ</t>
  </si>
  <si>
    <t xml:space="preserve">Поняла, что выгорела: до отпуска ещё три месяца, а я уже считаю дни. Сначала просто захотелось куда-то на выходные, потом мы с мужем решили сделать нормальную поездку на майские.</t>
  </si>
  <si>
    <t xml:space="preserve">Telegram-каналы про путешествия, пара блогеров на YouTube. Скидываю ссылки себе в «Избранное», а потом месяц не могу найти, что именно сохраняла.</t>
  </si>
  <si>
    <t xml:space="preserve">Сравниваю по погоде, цене перелёта и отзывам. Отзывам на агрегаторах не верю, половина выглядит заказанной. Проверяю по фото от реальных людей на Яндекс Картах.</t>
  </si>
  <si>
    <t xml:space="preserve">С мужем и сыном, попутчиков не искала. Один раз хотела позвать подругу, но у неё не сошлись даты, и мы отказались от этой идеи.</t>
  </si>
  <si>
    <t xml:space="preserve">Для меня это не актуально: с семьёй ездить привычнее. Незнакомых в поездку я бы брать не стала.</t>
  </si>
  <si>
    <t xml:space="preserve">Ищу отель на агрегаторе, потом иду на сайт отеля и смотрю, дешевле ли там. Обычно дешевле или с завтраком. В итоге десять вкладок и таблица в Excel.</t>
  </si>
  <si>
    <t xml:space="preserve">Всё прошло по плану. Единственное: забыла, что записала про ресторан, и полчаса искала по чатам и заметкам.</t>
  </si>
  <si>
    <t xml:space="preserve">Выкладываю в закрытый чат с друзьями в Telegram и иногда в ВК. Для себя и чтобы близкие видели, как мы отдохнули.</t>
  </si>
  <si>
    <t xml:space="preserve">Мне не мешает, я и не жду лайков, это для своих. Просто лень разбирать 300 фото.</t>
  </si>
  <si>
    <t xml:space="preserve">Показываю друзьям, советую места. Отзывы пишу редко, только если очень понравилось или очень плохо. Следующую поездку начинаем планировать через месяц-два.</t>
  </si>
  <si>
    <t xml:space="preserve">Чтобы всё было в одном месте: идеи, сохранённые места, план, бронь. И чтобы советы были от нормальных людей, а не рекламные.</t>
  </si>
  <si>
    <t xml:space="preserve">Идея появилась в чате друзей: кто-то скинул фото с Кольского, и началось: давайте, когда, на сколько. Обычно всё решается за пару вечеров в Telegram.</t>
  </si>
  <si>
    <t xml:space="preserve">Каналы про хайкинг, ВК-паблики, рассказы знакомых. Много рекламы, приходится фильтровать. Хорошие маршруты нахожу в личных отчётах людей, а не в подборках.</t>
  </si>
  <si>
    <t xml:space="preserve">Смотрю сложность маршрута, сезон, логистику. Отзывам на платформах не доверяю, лучше спросить человека, который там был. Но найти такого человека — отдельная задача.</t>
  </si>
  <si>
    <t xml:space="preserve">Да, почти всегда в группе из 3–5 человек. Состав собираем сами, но часто не хватает одного-двух, тогда пишу в тематические чаты в Telegram и в ВК.</t>
  </si>
  <si>
    <t xml:space="preserve">Не знаю, какой человек по темпу и характеру. Бывало: заявился новичок, который через два часа выдохся. Согласовать даты, бюджет и физподготовку — половина нервов.</t>
  </si>
  <si>
    <t xml:space="preserve">Билеты и жильё: агрегаторы как поисковик, бронирую часто напрямую. Раздражает, что цены везде разные и всё нужно сверять.</t>
  </si>
  <si>
    <t xml:space="preserve">Один участник сдался на маршруте, часть пути пришлось его сопровождать. Плюс заметки по маршруту были в трёх местах: в Notes, в чате и в таблице.</t>
  </si>
  <si>
    <t xml:space="preserve">Да, в ВК и в Telegram-канале: для друзей и чтобы вести хронику. Иногда это помогает найти людей на следующую поездку.</t>
  </si>
  <si>
    <t xml:space="preserve">Особо ничего не мешает: выложил и забыл. Но хотелось бы, чтобы пост работал на поиск людей, а не просто висел.</t>
  </si>
  <si>
    <t xml:space="preserve">С ребятами из похода остаёмся в чате, но через полгода чат умирает, а человек, с которым было круто, теряется. Отзывы пишу только в чатах.</t>
  </si>
  <si>
    <t xml:space="preserve">Объявления «еду туда-то в такие даты» с рейтингом и отзывами людей, с которыми уже ездил. Плюс общий план маршрута в одном месте.</t>
  </si>
  <si>
    <t xml:space="preserve">После развода захотелось что-то сделать для себя. Подруги заняты, я подумала: хватит ждать. Но одна боюсь, никогда сама не ездила.</t>
  </si>
  <si>
    <t xml:space="preserve">Спрашивала знакомых, смотрела ВК. Раньше брала путёвки в агентстве, там получаешь готовое. Сейчас хочется самой, но не знаю, с чего начать.</t>
  </si>
  <si>
    <t xml:space="preserve">Выбирала безопасное место, чтобы были экскурсии и организованная группа. Главное — чтобы было понятно, что там можно делать без машины.</t>
  </si>
  <si>
    <t xml:space="preserve">Искала компанию в ВК-группах для женщин 40+. Ответили двое: одна пропала, вторая была не по темпу. Больше не ищу, жду, когда подруга освободится.</t>
  </si>
  <si>
    <t xml:space="preserve">Боюсь обмана и странных людей. Как проверить, что человек тот, за кого себя выдаёт? Кто гарантирует, что он оплатит свою часть и не передумает?</t>
  </si>
  <si>
    <t xml:space="preserve">Всё через агентство: сама боюсь ошибиться, вдруг не тот отель, вдруг не вернут деньги. Дороже, но спокойнее.</t>
  </si>
  <si>
    <t xml:space="preserve">Было непонятно, что делать вечером: одной в ресторан неловко, экскурсии по расписанию закончились. Хотелось найти кого-то, кто тоже один.</t>
  </si>
  <si>
    <t xml:space="preserve">Раньше выкладывала в ВК, сейчас нет. Фото с поездки одной — как-то неловко.</t>
  </si>
  <si>
    <t xml:space="preserve">Никто не ставит лайки, и я поняла, что это никому не интересно. Перестала, не вижу смысла.</t>
  </si>
  <si>
    <t xml:space="preserve">Контакты случайных знакомых в поездке сохранила, но не написала, а потом уже неловко. Жалею.</t>
  </si>
  <si>
    <t xml:space="preserve">Чтобы можно было найти женщину моего возраста на те же даты и то же направление, и чтобы было видно, что она проверенная, с отзывами.</t>
  </si>
  <si>
    <t xml:space="preserve">Друг позвал на Алтай на машине. Идея родилась из разговора, и сразу: когда, на чём, сколько дней. Я люблю автопутешествия.</t>
  </si>
  <si>
    <t xml:space="preserve">Сообщества автомобилистов на Drive2, YouTube, друзья. Про маршруты узнаю из отчётов людей, а не из рекламы.</t>
  </si>
  <si>
    <t xml:space="preserve">Состояние дорог, расстояния между заправками, где ночевать. Отзывы в интернете накручены, рекламные статьи сразу отсекаю, верю только отчётам тех, кто проехал.</t>
  </si>
  <si>
    <t xml:space="preserve">Лучше вдвоём-втроём на две машины: безопаснее. Искал попутчиков на Drive2 и через знакомых. С кем-то получилось, но были и неприятные истории: один отказался в последний момент.</t>
  </si>
  <si>
    <t xml:space="preserve">Кидалово и ненадёжность. Договорились, а человек не приехал, все планы летят. Предоплаты нет, гарантий нет.</t>
  </si>
  <si>
    <t xml:space="preserve">Жильё смотрю на агрегаторе и звоню напрямую, так дешевле. Кемпинги и базы отдыха не нашёл нигде в одном месте, собираю по крупицам.</t>
  </si>
  <si>
    <t xml:space="preserve">Согласовать темп с попутчиками: один хочет ехать 600 км в день, другой — остановиться и посмотреть. Споры на ровном месте.</t>
  </si>
  <si>
    <t xml:space="preserve">Не публикую, снимаю для себя и семьи. Максимум скину в семейный чат в WhatsApp.</t>
  </si>
  <si>
    <t xml:space="preserve">Не то чтобы мешает, мне просто не интересно быть на виду. Если бы это помогало находить людей в следующую поездку, может, выкладывал бы.</t>
  </si>
  <si>
    <t xml:space="preserve">Ребята, с которыми ехали, остались в телефоне, но без повода не пишем. Через год хочу собрать тех же, а контакты потерялись или номера сменились.</t>
  </si>
  <si>
    <t xml:space="preserve">Список проверенных попутчиков с отзывами: кто не подводил. И карта маршрутов людей с остановками и кемпингами.</t>
  </si>
  <si>
    <t xml:space="preserve">Накопилась усталость после дежурств. Сказала себе: в октябре поеду на море. Идея простая: выспаться и походить.</t>
  </si>
  <si>
    <t xml:space="preserve">В Telegram есть каналы, на которые подписана. Спрашивала коллег. Но хочется чего-то необычного, а каналы показывают одно и то же.</t>
  </si>
  <si>
    <t xml:space="preserve">Смотрела цену, рейсы, отзывы. Сложно понять, какие отзывы настоящие. Плюс хотелось, чтобы место было безопасным для женщины одной.</t>
  </si>
  <si>
    <t xml:space="preserve">Хотела бы с кем-то, одной скучно. Писала в Telegram-чат для путешественниц. Откликнулись, договорились, а дальше не сошлись по бюджету.</t>
  </si>
  <si>
    <t xml:space="preserve">Боюсь незнакомцев: врач, наслушалась историй. Нужно понимать, что человек реальный: документы, отзывы, общие знакомые. И чтобы бюджет и ритм совпадали.</t>
  </si>
  <si>
    <t xml:space="preserve">Брат помог сориентироваться. Билеты купила на сайте авиакомпании, отель — по его совету. Сама бы запуталась.</t>
  </si>
  <si>
    <t xml:space="preserve">Вечером не знала, чем заняться и куда идти безопасно. Пошла по совету хозяйки гостевого дома, а не по какому-то сервису.</t>
  </si>
  <si>
    <t xml:space="preserve">Не публикую. Неловко показывать себя в соцсетях.</t>
  </si>
  <si>
    <t xml:space="preserve">Кто это увидит? Друзья в ВК и так знают. Не понимаю, зачем, если никто не отреагирует.</t>
  </si>
  <si>
    <t xml:space="preserve">Показала фото коллегам на работе. Общей поездки с попутчиками не было, так и поехала одна.</t>
  </si>
  <si>
    <t xml:space="preserve">Сервис, где можно найти компанию на конкретные даты, с проверкой человека, и видеть, куда он собирается. Чтобы сначала можно было пообщаться в чате.</t>
  </si>
  <si>
    <t xml:space="preserve">Коллега рассказал про отпуск, и всё понеслось. Когда друзья едут в Сочи, тоже хочется. Обычно вдохновляет чужой пост.</t>
  </si>
  <si>
    <t xml:space="preserve">Листаю Telegram, смотрю YouTube и Дзен. Сохраняю в «Избранное» и в заметки. Накопилось десять мест, уже не вспомню, где что.</t>
  </si>
  <si>
    <t xml:space="preserve">Смотрю цену и отзывы, хотя отзывам не верю, смотрю фото гостей. Часто выбираю по рекомендации друга.</t>
  </si>
  <si>
    <t xml:space="preserve">Езжу с женой и друзьями, попутчиков не искал. Потребности не вижу.</t>
  </si>
  <si>
    <t xml:space="preserve">Я бы не стал: не хочу делить отпуск с незнакомым человеком.</t>
  </si>
  <si>
    <t xml:space="preserve">Смотрю на агрегаторе, потом иду на сайт отеля. Всё в разных вкладках, потом путаюсь, где выгоднее. Экскурсии беру уже на месте.</t>
  </si>
  <si>
    <t xml:space="preserve">На месте не знал, что посмотреть рядом. Карты показывают общие места, а хочется, чтобы кто-то местный посоветовал что-то настоящее.</t>
  </si>
  <si>
    <t xml:space="preserve">Да, выкладываю в Telegram и ВК: фото, короткие рассказы. Хочется поделиться с друзьями и коллегами.</t>
  </si>
  <si>
    <t xml:space="preserve">Не хватает реакции: выложил, два лайка — и всё. Хочется, чтобы это увидели те, кому интересны путешествия, а не просто знакомые.</t>
  </si>
  <si>
    <t xml:space="preserve">Показываю фото друзьям, пишу пару отзывов на Яндекс Картах, если место крутое. Заметки с маршрутом потом теряются, когда надо вспомнить через год.</t>
  </si>
  <si>
    <t xml:space="preserve">Одно приложение: идеи, план, бронь, места на месте. И чтобы можно было делиться и получать отклик от людей, которые любят путешествия.</t>
  </si>
  <si>
    <t xml:space="preserve">Коллеги по школе рассказали про поездку в Карелию, захотелось. Дети выросли, у меня появилось время.</t>
  </si>
  <si>
    <t xml:space="preserve">ВК и Одноклассники, группы по путешествиям. Спрашиваю у подруг. Интернету верю мало: там много рекламы.</t>
  </si>
  <si>
    <t xml:space="preserve">Смотрела цену, насколько организованно, отзывы. Отзывы читаю в группах, там вроде живые люди, но и там бывает подстава.</t>
  </si>
  <si>
    <t xml:space="preserve">Хочу с компанией, потому что одной страшно. Искала в ВК-группах женщин 50+. Нашлись две, съездили в Кисловодск. Но долго не решалась писать незнакомым.</t>
  </si>
  <si>
    <t xml:space="preserve">Страшно, что обманут или окажется неприятный человек. Нет ничего, что давало бы уверенность. Хочется, чтобы кто-то проверял.</t>
  </si>
  <si>
    <t xml:space="preserve">Через агентство, по путёвке: там всё понятно, можно позвонить. Интернет для меня сложный, боюсь, что деньги спишутся, а брони не будет.</t>
  </si>
  <si>
    <t xml:space="preserve">На месте не хватает того, кто подскажет, куда сходить. Группа уехала на автобусе, а мне хотелось ещё в музей, но информации не было.</t>
  </si>
  <si>
    <t xml:space="preserve">Выкладываю в ВК и Одноклассники: фото, подписи. Внукам и подругам нравится.</t>
  </si>
  <si>
    <t xml:space="preserve">Раньше ставили лайки, а сейчас молчание. Не знаю, заметил ли кто, интересно ли. Обидно немного.</t>
  </si>
  <si>
    <t xml:space="preserve">Созваниваемся с теми двумя женщинами, но надо бы найти новых. Отзывы не пишу, не умею.</t>
  </si>
  <si>
    <t xml:space="preserve">Простой сервис, чтобы найти женщин для поездки и чтобы он был безопасным. Чтобы людей проверяли.</t>
  </si>
  <si>
    <t xml:space="preserve">Друзья по походам: «Когда на Кавказ?» Весной запланировали на сентябрь. Идея всегда от компании.</t>
  </si>
  <si>
    <t xml:space="preserve">Telegram-каналы, YouTube с треками, отчёты друзей. Информации много, но она разбросана: нет единой базы, где маршруты, сложность и отзывы.</t>
  </si>
  <si>
    <t xml:space="preserve">Маршрут, сезон, сложность. Отзывам не верю, читаю отчёты людей, которые там были, но их надо искать. Смотрю расписание транспорта.</t>
  </si>
  <si>
    <t xml:space="preserve">Да. Идём группой 4–6 человек; если не хватает людей, пишу в чаты походников в Telegram. Получается не всегда.</t>
  </si>
  <si>
    <t xml:space="preserve">Что человек не потянет маршрут и задержит группу. Или будет постоянно спорить. Плюс бюджет и даты: совместить их сложнее, чем выбрать гору.</t>
  </si>
  <si>
    <t xml:space="preserve">Жильё присматриваю на агрегаторе, бронирую у хозяев напрямую. Билеты — на сайте РЖД. Всё разрозненно, в заметках таблица со ссылками.</t>
  </si>
  <si>
    <t xml:space="preserve">На тропе поменялась погода, план быстро пересобирали. Нужно было найти ночёвку, нашли у местных.</t>
  </si>
  <si>
    <t xml:space="preserve">Выкладываю в Telegram-чат группы и пишу отзывы на Яндекс Картах про приюты, чтобы другим было проще.</t>
  </si>
  <si>
    <t xml:space="preserve">Не то чтобы мешает. Просто отчёты пропадают в чатах, через год никто не найдёт.</t>
  </si>
  <si>
    <t xml:space="preserve">Контакты ребят сохраняю, но через год уже не помню, кто как себя вёл на маршруте. Хотелось бы видеть, с кем ходил и как это было.</t>
  </si>
  <si>
    <t xml:space="preserve">Объявления по маршруту и датам, профиль с опытом походов и отзывами, общий план и бюджет в одном месте.</t>
  </si>
  <si>
    <t xml:space="preserve">Я езжу соло, идея часто спонтанная: увидела дешёвый билет, захотелось. Или после сложного проекта нужно перезагрузиться.</t>
  </si>
  <si>
    <t xml:space="preserve">Telegram-каналы, YouTube, Дзен. Много рекламы под видом личного опыта. Честные отчёты искать долго.</t>
  </si>
  <si>
    <t xml:space="preserve">Безопасность, транспорт, цены. Отзывы читаю, рекламу отличаю. Часто проверяю по нескольким источникам.</t>
  </si>
  <si>
    <t xml:space="preserve">Специально не ищу, я привыкла одна. Но было бы здорово встречать людей на месте: вместе сходить на экскурсию, поужинать.</t>
  </si>
  <si>
    <t xml:space="preserve">Когда едешь одна, может случиться что угодно: небезопасный район, мошенники. Доверять незнакомцам не хочется, нужна проверка человека.</t>
  </si>
  <si>
    <t xml:space="preserve">Смотрю на агрегаторах, бронирую на сайте отеля, если дешевле. Билеты в несколько окон. Сравниваю, теряю кучу времени.</t>
  </si>
  <si>
    <t xml:space="preserve">В целом гладко. Был момент с бронью: отель отменили за день, пришлось срочно искать другой ночью, с телефона.</t>
  </si>
  <si>
    <t xml:space="preserve">Веду Telegram-канал с небольшой аудиторией, пишу отзывы на Яндекс Картах.</t>
  </si>
  <si>
    <t xml:space="preserve">Мало отклика. Двадцать подписчиков, и те мои знакомые. Хочется, чтобы это увидели те, кому я могу быть полезна.</t>
  </si>
  <si>
    <t xml:space="preserve">Контакты случайных знакомых из хостелов сохраняю, но они теряются. Хорошо бы иметь место, где эти контакты живут.</t>
  </si>
  <si>
    <t xml:space="preserve">Верифицированное сообщество путешественников, где можно быстро найти людей на месте и где мои отчёты кому-то пригодятся.</t>
  </si>
  <si>
    <t xml:space="preserve">Школьные каникулы: жена говорит, что надо решать, дети хотят на море. Идея рождается из расписания.</t>
  </si>
  <si>
    <t xml:space="preserve">YouTube, Дзен, спрашиваю коллег. Просматриваю кучу статей, все написаны под рекламу.</t>
  </si>
  <si>
    <t xml:space="preserve">Цена, перелёты с детьми, чем заняться детям. Отзывам не верю, ищу у тех, кто ездил с детьми.</t>
  </si>
  <si>
    <t xml:space="preserve">С семьёй, попутчиков не ищу. Но с другой семьёй с детьми было бы интересно, если бы это было несложно найти.</t>
  </si>
  <si>
    <t xml:space="preserve">Не искал, но с чужими не поеду: это дети.</t>
  </si>
  <si>
    <t xml:space="preserve">Агрегатор как каталог, потом прямой звонок в отель. Пять вкладок. Экскурсии — на месте, через отель, дороже.</t>
  </si>
  <si>
    <t xml:space="preserve">Не знали, чем занять детей, нашли по совету администратора. Хотелось заранее знать, что есть, но нигде нет единой информации.</t>
  </si>
  <si>
    <t xml:space="preserve">Нет, не публикую. Это семья, не хочу выкладывать детей.</t>
  </si>
  <si>
    <t xml:space="preserve">Мешает приватность. Но был бы закрытый формат, я бы делился с близкими.</t>
  </si>
  <si>
    <t xml:space="preserve">Показываем дома, фото в семейном облаке. Маршруты и заметки потом не найти: в телефоне жены, в моём, в мессенджере.</t>
  </si>
  <si>
    <t xml:space="preserve">Всё в одном месте: план семьи, бронь, места для детей. Чтобы подсказки были от таких же родителей.</t>
  </si>
  <si>
    <t xml:space="preserve">Захотелось в Грузию: увидела пост знакомого. Сначала решила, потом искала, кто со мной.</t>
  </si>
  <si>
    <t xml:space="preserve">Telegram, ВК, YouTube. Подписана на 30 каналов, не помню, где что видела. Хочется, чтобы это сохранялось в одном месте.</t>
  </si>
  <si>
    <t xml:space="preserve">Цена, время, интересные активности. Отзывы читаю, сравниваю, мне обычно хватает. Главное — чтобы было что делать, а не только отель.</t>
  </si>
  <si>
    <t xml:space="preserve">Да, регулярно. Пишу в Telegram-чаты и ВК-группы, пробовала «Сетку». Находятся люди, но непонятно, кто они. Один раз согласились и пропали за неделю до вылета.</t>
  </si>
  <si>
    <t xml:space="preserve">Вдруг человек окажется странным, и нет гарантии, что не сольётся. Ещё бюджет и ритм. Каждый раз приходится «собеседовать» человека с нуля.</t>
  </si>
  <si>
    <t xml:space="preserve">Билеты на агрегаторе, жильё: сравниваю несколько сервисов и сайт отеля. С попутчиками делим счета вручную, через переводы.</t>
  </si>
  <si>
    <t xml:space="preserve">Поругались с попутчицей из-за планов: она хотела отдыхать, я — гулять. Заранее не обсудили стиль поездки.</t>
  </si>
  <si>
    <t xml:space="preserve">Да, Telegram и ВК. Люблю делиться, веду небольшой блог о городах. Хотелось бы выходить на аудиторию.</t>
  </si>
  <si>
    <t xml:space="preserve">Охваты маленькие. Нет инструментов, чтобы найти своих. Пишешь в пустоту, а хочется обратной связи.</t>
  </si>
  <si>
    <t xml:space="preserve">Контакты растворяются в чатах. Хочу ездить с теми, с кем было хорошо, но через полгода не могу их найти.</t>
  </si>
  <si>
    <t xml:space="preserve">Сервис с профилями путешественников, верификацией и рейтингом, чтобы сразу понять стиль поездки. И чтобы пост о поездке видели люди, которым это интересно.</t>
  </si>
  <si>
    <t xml:space="preserve">Друзья разъехались, захотелось впервые поехать самому. Увидел ролик про Байкал, зацепило. Но не понимаю, как начинать.</t>
  </si>
  <si>
    <t xml:space="preserve">YouTube, Telegram. Контента очень много, а с чего начать — непонятно. Нет единой инструкции для новичка.</t>
  </si>
  <si>
    <t xml:space="preserve">Сравнивал по цене и впечатлениям других, но никак не мог выбрать: слишком много вариантов. Спросил в Telegram-чате.</t>
  </si>
  <si>
    <t xml:space="preserve">Хочу ехать с кем-то, но друзья заняты. Писал в Telegram-чаты, но там сотни объявлений без структуры, по датам не поискать.</t>
  </si>
  <si>
    <t xml:space="preserve">Главное — найти человека на те же даты и с тем же бюджетом. Объявления в чатах — хаос: ищу по ключевым словам, половина старых.</t>
  </si>
  <si>
    <t xml:space="preserve">Запутался: агрегаторы, сайты, куча условий отмены. Сначала забронировал, потом понял, что условия невыгодные.</t>
  </si>
  <si>
    <t xml:space="preserve">Первый раз сам: не знал, куда идти вечером и что посмотреть. Хотелось тура, но не автобусной группы. Нашёл гида в чате, но это случайность.</t>
  </si>
  <si>
    <t xml:space="preserve">Нет, не публикую. Стесняюсь, да и не знаю, зачем.</t>
  </si>
  <si>
    <t xml:space="preserve">Кому это нужно? Друзья и так видят. Не вижу смысла.</t>
  </si>
  <si>
    <t xml:space="preserve">Вернулся, показал друзьям. Хочу ещё, но пока не знаю, с кем и куда.</t>
  </si>
  <si>
    <t xml:space="preserve">Чтобы можно было выбрать направление по моим датам и бюджету и сразу найти компанию: понятно и без хаоса.</t>
  </si>
  <si>
    <t xml:space="preserve">Кодирование ответов</t>
  </si>
  <si>
    <t xml:space="preserve">1 = проблема или поведение подтверждено в интервью респондента, 0 = нет</t>
  </si>
  <si>
    <t xml:space="preserve">Искал(а) попутчиков</t>
  </si>
  <si>
    <t xml:space="preserve">Публикует контент</t>
  </si>
  <si>
    <t xml:space="preserve">Бронирует напрямую после агрегатора</t>
  </si>
  <si>
    <t xml:space="preserve">P1 Нет единого канала поиска попутчиков: чаты и группы без структуры, объявления теряются</t>
  </si>
  <si>
    <t xml:space="preserve">P2 Страх незнакомцев: нет верификации, рейтинга и гарантий</t>
  </si>
  <si>
    <t xml:space="preserve">P3 Хаос источников вдохновения: десятки каналов, сохранённое не найти</t>
  </si>
  <si>
    <t xml:space="preserve">P4 Недоверие к отзывам и рекламному контенту</t>
  </si>
  <si>
    <t xml:space="preserve">P5 Разрозненное бронирование: агрегатор как каталог, сверка цен в десятках вкладок</t>
  </si>
  <si>
    <t xml:space="preserve">P6 Нет отклика на публикации: «пишешь в пустоту», нет смысла постить</t>
  </si>
  <si>
    <t xml:space="preserve">P7 Сложно согласовать даты, бюджет и темп поездки с попутчиком</t>
  </si>
  <si>
    <t xml:space="preserve">P8 План, заметки и места разбросаны по мессенджерам, Notes и таблицам</t>
  </si>
  <si>
    <t xml:space="preserve">P9 Нет локальных советов, гидов и активностей на месте</t>
  </si>
  <si>
    <t xml:space="preserve">P10 Контакты попутчиков и впечатления теряются после поездки</t>
  </si>
  <si>
    <t xml:space="preserve">Всего «да»</t>
  </si>
  <si>
    <t xml:space="preserve">Доля респондентов</t>
  </si>
  <si>
    <t xml:space="preserve">Ключевые проблемы и инсайты</t>
  </si>
  <si>
    <t xml:space="preserve">Количество респондентов считается формулами из листа «Кодирование»</t>
  </si>
  <si>
    <t xml:space="preserve">Ранг</t>
  </si>
  <si>
    <t xml:space="preserve">Код</t>
  </si>
  <si>
    <t xml:space="preserve">Проблема</t>
  </si>
  <si>
    <t xml:space="preserve">Респондентов (из 12)</t>
  </si>
  <si>
    <t xml:space="preserve">Доля</t>
  </si>
  <si>
    <t xml:space="preserve">Приоритет</t>
  </si>
  <si>
    <t xml:space="preserve">Цитата</t>
  </si>
  <si>
    <t xml:space="preserve">Скрытая потребность (инсайт)</t>
  </si>
  <si>
    <t xml:space="preserve">P3</t>
  </si>
  <si>
    <t xml:space="preserve">Хаос источников вдохновения: десятки каналов, сохранённое не найти</t>
  </si>
  <si>
    <t xml:space="preserve">2. Вдохновение</t>
  </si>
  <si>
    <t xml:space="preserve">«Подписана на 30 каналов, не помню, где что видела» (R11)</t>
  </si>
  <si>
    <t xml:space="preserve">Хочу одно место для идей, а не 30 каналов</t>
  </si>
  <si>
    <t xml:space="preserve">P5</t>
  </si>
  <si>
    <t xml:space="preserve">Разрозненное бронирование: агрегатор как каталог, сверка цен в десятках вкладок</t>
  </si>
  <si>
    <t xml:space="preserve">5. Бронирование</t>
  </si>
  <si>
    <t xml:space="preserve">«Ищу отель на агрегаторе, потом иду на сайт отеля… В итоге десять вкладок и таблица в Excel» (R1)</t>
  </si>
  <si>
    <t xml:space="preserve">Платформе не лоялен: ищу выгоду; удержит сообщество</t>
  </si>
  <si>
    <t xml:space="preserve">P1</t>
  </si>
  <si>
    <t xml:space="preserve">Нет единого канала поиска попутчиков: чаты и группы без структуры, объявления теряются</t>
  </si>
  <si>
    <t xml:space="preserve">4. Попутчики</t>
  </si>
  <si>
    <t xml:space="preserve">«Писал в Telegram-чаты, но там сотни объявлений без структуры, по датам не поискать» (R12)</t>
  </si>
  <si>
    <t xml:space="preserve">Хочу один проверенный канал, а не гадать, где искать</t>
  </si>
  <si>
    <t xml:space="preserve">P4</t>
  </si>
  <si>
    <t xml:space="preserve">Недоверие к отзывам и рекламному контенту</t>
  </si>
  <si>
    <t xml:space="preserve">3. Выбор направления</t>
  </si>
  <si>
    <t xml:space="preserve">«Отзывы в интернете накручены, верю только отчётам тех, кто проехал» (R4)</t>
  </si>
  <si>
    <t xml:space="preserve">Доверяю людям «как я», а не рекламе</t>
  </si>
  <si>
    <t xml:space="preserve">P6</t>
  </si>
  <si>
    <t xml:space="preserve">Нет отклика на публикации: «пишешь в пустоту», нет смысла постить</t>
  </si>
  <si>
    <t xml:space="preserve">7. После поездки</t>
  </si>
  <si>
    <t xml:space="preserve">«Охваты маленькие. Пишешь в пустоту, а хочется обратной связи» (R11)</t>
  </si>
  <si>
    <t xml:space="preserve">Хочу признания и отклика от тех, кому это интересно</t>
  </si>
  <si>
    <t xml:space="preserve">P8</t>
  </si>
  <si>
    <t xml:space="preserve">План, заметки и места разбросаны по мессенджерам, Notes и таблицам</t>
  </si>
  <si>
    <t xml:space="preserve">«Заметки по маршруту были в трёх местах: в Notes, в чате и в таблице» (R2)</t>
  </si>
  <si>
    <t xml:space="preserve">Хочу, чтобы план был в одном месте и не терялся</t>
  </si>
  <si>
    <t xml:space="preserve">P2</t>
  </si>
  <si>
    <t xml:space="preserve">Страх незнакомцев: нет верификации, рейтинга и гарантий</t>
  </si>
  <si>
    <t xml:space="preserve">«Боюсь незнакомцев… нужно понимать, что человек реальный: документы, отзывы, общие знакомые» (R5)</t>
  </si>
  <si>
    <t xml:space="preserve">Хочу чувствовать себя в безопасности: нужна верификация</t>
  </si>
  <si>
    <t xml:space="preserve">P7</t>
  </si>
  <si>
    <t xml:space="preserve">Сложно согласовать даты, бюджет и темп поездки с попутчиком</t>
  </si>
  <si>
    <t xml:space="preserve">«Согласовать даты, бюджет и физподготовку — половина нервов» (R2)</t>
  </si>
  <si>
    <t xml:space="preserve">Хочу ехать с человеком «моего формата», а не договариваться с нуля</t>
  </si>
  <si>
    <t xml:space="preserve">P9</t>
  </si>
  <si>
    <t xml:space="preserve">Нет локальных советов, гидов и активностей на месте</t>
  </si>
  <si>
    <t xml:space="preserve">6. Поездка</t>
  </si>
  <si>
    <t xml:space="preserve">«На месте не знал, что посмотреть рядом… хочется, чтобы кто-то местный посоветовал» (R6)</t>
  </si>
  <si>
    <t xml:space="preserve">Хочу «местного друга» на месте</t>
  </si>
  <si>
    <t xml:space="preserve">P10</t>
  </si>
  <si>
    <t xml:space="preserve">Контакты попутчиков и впечатления теряются после поездки</t>
  </si>
  <si>
    <t xml:space="preserve">«Контакты растворяются в чатах. Хочу ездить с теми, с кем было хорошо, но через полгода не могу их найти» (R11)</t>
  </si>
  <si>
    <t xml:space="preserve">Хочу сохранить людей, с которыми было хорошо</t>
  </si>
  <si>
    <t xml:space="preserve">Порог приоритета: «Критично» — 75% и выше, «Высокий» — от 58%, «Значимый» — ниже.</t>
  </si>
  <si>
    <t xml:space="preserve">Ключевые цифры исследования</t>
  </si>
  <si>
    <t xml:space="preserve">Показатель</t>
  </si>
  <si>
    <t xml:space="preserve">Респондентов</t>
  </si>
  <si>
    <t xml:space="preserve">Искали попутчиков за последние 2 года</t>
  </si>
  <si>
    <t xml:space="preserve">Публикуют туристический контент</t>
  </si>
  <si>
    <t xml:space="preserve">Бронируют напрямую после поиска на агрегаторе</t>
  </si>
  <si>
    <t xml:space="preserve">Из искавших попутчиков: не нашли удобного канала</t>
  </si>
  <si>
    <t xml:space="preserve">Из искавших попутчиков: страх незнакомцев</t>
  </si>
  <si>
    <t xml:space="preserve">Каналы</t>
  </si>
  <si>
    <t xml:space="preserve">Канал</t>
  </si>
  <si>
    <t xml:space="preserve">Поиск попутчиков</t>
  </si>
  <si>
    <t xml:space="preserve">Публикации</t>
  </si>
  <si>
    <t xml:space="preserve">Telegram</t>
  </si>
  <si>
    <t xml:space="preserve">ВК</t>
  </si>
  <si>
    <t xml:space="preserve">YouTube</t>
  </si>
  <si>
    <t xml:space="preserve">Дзен</t>
  </si>
  <si>
    <t xml:space="preserve">Одноклассники</t>
  </si>
  <si>
    <t xml:space="preserve">Drive2</t>
  </si>
  <si>
    <t xml:space="preserve">Сетка</t>
  </si>
  <si>
    <t xml:space="preserve">друзья</t>
  </si>
  <si>
    <t xml:space="preserve">Яндекс Карты</t>
  </si>
  <si>
    <t xml:space="preserve">Каналы и площадки по респондентам</t>
  </si>
  <si>
    <t xml:space="preserve">Где ищут вдохновение</t>
  </si>
  <si>
    <t xml:space="preserve">Где ищут попутчиков</t>
  </si>
  <si>
    <t xml:space="preserve">Где публикуют</t>
  </si>
  <si>
    <t xml:space="preserve">Telegram, YouTube, друзья</t>
  </si>
  <si>
    <t xml:space="preserve">—</t>
  </si>
  <si>
    <t xml:space="preserve">Telegram, ВК</t>
  </si>
  <si>
    <t xml:space="preserve">Telegram, ВК, друзья, YouTube</t>
  </si>
  <si>
    <t xml:space="preserve">Telegram, ВК, друзья</t>
  </si>
  <si>
    <t xml:space="preserve">ВК, Telegram</t>
  </si>
  <si>
    <t xml:space="preserve">ВК, друзья</t>
  </si>
  <si>
    <t xml:space="preserve">Drive2, YouTube, друзья</t>
  </si>
  <si>
    <t xml:space="preserve">Drive2, друзья</t>
  </si>
  <si>
    <t xml:space="preserve">Telegram, друзья</t>
  </si>
  <si>
    <t xml:space="preserve">Telegram, YouTube, Дзен</t>
  </si>
  <si>
    <t xml:space="preserve">Telegram, ВК, Яндекс Карты</t>
  </si>
  <si>
    <t xml:space="preserve">ВК, Одноклассники, друзья</t>
  </si>
  <si>
    <t xml:space="preserve">ВК, Одноклассники</t>
  </si>
  <si>
    <t xml:space="preserve">Telegram, Яндекс Карты</t>
  </si>
  <si>
    <t xml:space="preserve">YouTube, Дзен, друзья</t>
  </si>
  <si>
    <t xml:space="preserve">Telegram, ВК, YouTube</t>
  </si>
  <si>
    <t xml:space="preserve">Telegram, ВК, Сетка</t>
  </si>
  <si>
    <t xml:space="preserve">YouTube, Telegram, друзья</t>
  </si>
  <si>
    <t xml:space="preserve">Customer Journey Map: путешественник и сервис «Погнали!»</t>
  </si>
  <si>
    <t xml:space="preserve">Этапы одинаковы для всех 12 респондентов</t>
  </si>
  <si>
    <t xml:space="preserve">Этап</t>
  </si>
  <si>
    <t xml:space="preserve">1. Зарождение идеи</t>
  </si>
  <si>
    <t xml:space="preserve">4. Поиск попутчиков</t>
  </si>
  <si>
    <t xml:space="preserve">Точки контакта</t>
  </si>
  <si>
    <t xml:space="preserve">Разговор с семьёй и друзьями, чужой пост, календарь отпусков</t>
  </si>
  <si>
    <t xml:space="preserve">Telegram-каналы, ВК, YouTube, Дзен, рассказы знакомых</t>
  </si>
  <si>
    <t xml:space="preserve">Отзывы, Яндекс Карты, отчёты людей, семейные обсуждения</t>
  </si>
  <si>
    <t xml:space="preserve">Telegram-чаты, ВК-группы, Drive2, друзья</t>
  </si>
  <si>
    <t xml:space="preserve">Агрегаторы, сайты отелей, РЖД, агентства</t>
  </si>
  <si>
    <t xml:space="preserve">Карты, чаты с группой, гиды, советы местных</t>
  </si>
  <si>
    <t xml:space="preserve">Telegram, ВК, Яндекс Карты, личные чаты</t>
  </si>
  <si>
    <t xml:space="preserve">Что делает?</t>
  </si>
  <si>
    <t xml:space="preserve">Накапливает усталость, выбирает окно в отпуске, обсуждает идею с близкими; идея часто приходит из чужого поста</t>
  </si>
  <si>
    <t xml:space="preserve">Листает каналы и соцсети, спрашивает знакомых, сохраняет ссылки в «Избранное» и заметки</t>
  </si>
  <si>
    <t xml:space="preserve">Сравнивает цену, погоду, логистику и отзывы, ищет отчёты людей, которые там были, ведёт таблицы</t>
  </si>
  <si>
    <t xml:space="preserve">Пишет в Telegram-чаты и ВК-группы, спрашивает знакомых, согласует даты, бюджет и темп (8 из 12 искали)</t>
  </si>
  <si>
    <t xml:space="preserve">Ищет на агрегаторе, проверяет цену на сайте отеля, бронирует напрямую; с попутчиками делит счета вручную</t>
  </si>
  <si>
    <t xml:space="preserve">Идёт по плану, ищет, что посмотреть и где поужинать, общается с группой, подстраивает маршрут</t>
  </si>
  <si>
    <t xml:space="preserve">Делится фото и отчётами (7 из 12), пишет отзывы на картах, сохраняет контакты, начинает думать о следующей поездке</t>
  </si>
  <si>
    <t xml:space="preserve">Что думает?</t>
  </si>
  <si>
    <t xml:space="preserve">«Накопилась усталость, надо куда-то выбраться, но куда — пока не знаю»</t>
  </si>
  <si>
    <t xml:space="preserve">«Уже не помню, где я это видел. Много рекламы под видом личного опыта»</t>
  </si>
  <si>
    <t xml:space="preserve">«Отзывам не верю, лучше спрошу человека, который там был, но найти его — отдельная задача»</t>
  </si>
  <si>
    <t xml:space="preserve">«Надеюсь, хоть кто-то откликнется. Вдруг человек окажется странным или пропадёт перед вылетом?»</t>
  </si>
  <si>
    <t xml:space="preserve">«Посмотрю в каталоге, а закажу на сайте отеля, там дешевле. Десять вкладок, уже путаюсь»</t>
  </si>
  <si>
    <t xml:space="preserve">«Хорошо бы, чтобы кто-то местный подсказал, что тут ещё интересного и безопасного»</t>
  </si>
  <si>
    <t xml:space="preserve">«Выложил, два лайка — и всё. Жалко, что контакты потерялись»</t>
  </si>
  <si>
    <t xml:space="preserve">Что чувствует?</t>
  </si>
  <si>
    <t xml:space="preserve">Усталость, предвкушение, лёгкая тревога «не упустить даты»</t>
  </si>
  <si>
    <t xml:space="preserve">Интерес, затем перегруз и раздражение от рекламы</t>
  </si>
  <si>
    <t xml:space="preserve">Сомнение, усталость от сравнения вариантов</t>
  </si>
  <si>
    <t xml:space="preserve">Тревога, неуверенность, страх обмана, надежда</t>
  </si>
  <si>
    <t xml:space="preserve">Раздражение, желание контроля, нервозность при оплате</t>
  </si>
  <si>
    <t xml:space="preserve">Радость, свобода; иногда растерянность и одиночество</t>
  </si>
  <si>
    <t xml:space="preserve">Гордость, затем разочарование от отсутствия отклика; ностальгия</t>
  </si>
  <si>
    <t xml:space="preserve">Боли</t>
  </si>
  <si>
    <t xml:space="preserve">Идея рождается из чужих историй, а не из поиска; страх упустить удачные даты и цены</t>
  </si>
  <si>
    <t xml:space="preserve">Хаос источников (9 из 12); недоверие к рекламному контенту (7 из 12)</t>
  </si>
  <si>
    <t xml:space="preserve">Недоверие к отзывам (7 из 12); план и заметки разбросаны по мессенджерам (7 из 12)</t>
  </si>
  <si>
    <t xml:space="preserve">Нет единого канала (8 из 12); страх незнакомцев (6 из 12); сложно согласовать даты, бюджет, темп (6 из 12)</t>
  </si>
  <si>
    <t xml:space="preserve">Разрозненное бронирование и сверка цен (9 из 12); агрегаторы используют как каталог</t>
  </si>
  <si>
    <t xml:space="preserve">Нет локальных советов, гидов и активностей на месте (6 из 12)</t>
  </si>
  <si>
    <t xml:space="preserve">Нет отклика на публикации (7 из 12); контакты попутчиков теряются (6 из 12)</t>
  </si>
  <si>
    <t xml:space="preserve">Возможности для «Погнали!»</t>
  </si>
  <si>
    <t xml:space="preserve">Идеи под даты и бюджет («куда поехать на 4 дня в ноябре»); напоминания об удачных окнах отпуска</t>
  </si>
  <si>
    <t xml:space="preserve">Лента идей из реального опыта путешественников (UGC), подборки без рекламы, кнопка «сохранить в мой план»</t>
  </si>
  <si>
    <t xml:space="preserve">Маршруты от людей, которые там были, вопрос-ответ «спроси бывавших», единый план поездки</t>
  </si>
  <si>
    <t xml:space="preserve">Объявления по направлению и датам, верификация и рейтинг, подбор по стилю и бюджету, чат до поездки</t>
  </si>
  <si>
    <t xml:space="preserve">Совместное бронирование и деление счёта в группе, прямые предложения отелей, план и бронь в одном месте</t>
  </si>
  <si>
    <t xml:space="preserve">Режим «рядом со мной»: активности, гиды и люди на месте; план офлайн</t>
  </si>
  <si>
    <t xml:space="preserve">Публикации для профильной аудитории, отзывы → рейтинг, «поехать снова с теми же людьми», карта моих поездок</t>
  </si>
  <si>
    <t xml:space="preserve">Инсайт</t>
  </si>
  <si>
    <t xml:space="preserve">Желание рождается до поиска: сервис должен поймать момент «хочу уехать», а не ждать запроса</t>
  </si>
  <si>
    <t xml:space="preserve">Доверяют «таким же, как я», а не блогерам: нужен живой опыт вместо рекламы</t>
  </si>
  <si>
    <t xml:space="preserve">Человеку нужен не выбор побольше, а уверенность, что решение правильное</t>
  </si>
  <si>
    <t xml:space="preserve">Хочу один проверенный канал и чувствовать себя в безопасности</t>
  </si>
  <si>
    <t xml:space="preserve">Лояльности к платформам нет; удерживает сообщество, а не скидка</t>
  </si>
  <si>
    <t xml:space="preserve">В поездке нужен «местный друг»: быстрый живой совет и компания</t>
  </si>
  <si>
    <t xml:space="preserve">Хочу признания и обратной связи от тех, кому это интересно</t>
  </si>
  <si>
    <t xml:space="preserve">Эмоции (1 — негатив, 5 — позитив)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</si>
</sst>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General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color rgb="FF5B657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57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3F6FA"/>
        <bgColor rgb="FFFFFFFF"/>
      </patternFill>
    </fill>
    <fill>
      <patternFill patternType="solid">
        <fgColor rgb="FFFDE8E8"/>
        <bgColor rgb="FFFFF4D6"/>
      </patternFill>
    </fill>
    <fill>
      <patternFill patternType="solid">
        <fgColor rgb="FFE3F4E8"/>
        <bgColor rgb="FFF3F6FA"/>
      </patternFill>
    </fill>
    <fill>
      <patternFill patternType="solid">
        <fgColor rgb="FFFFF4D6"/>
        <bgColor rgb="FFFD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CE"/>
      </left>
      <right style="thin">
        <color rgb="FFBFC5CE"/>
      </right>
      <top style="thin">
        <color rgb="FFBFC5CE"/>
      </top>
      <bottom style="thin">
        <color rgb="FFBFC5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E"/>
      <rgbColor rgb="FF808080"/>
      <rgbColor rgb="FF9999FF"/>
      <rgbColor rgb="FF993366"/>
      <rgbColor rgb="FFFFF4D6"/>
      <rgbColor rgb="FFE3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CCFFCC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8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  <c r="C4" s="4"/>
      <c r="D4" s="4"/>
    </row>
    <row r="5" customFormat="false" ht="31.5" hidden="false" customHeight="true" outlineLevel="0" collapsed="false">
      <c r="A5" s="3" t="s">
        <v>4</v>
      </c>
      <c r="B5" s="4" t="s">
        <v>5</v>
      </c>
      <c r="C5" s="4"/>
      <c r="D5" s="4"/>
    </row>
    <row r="6" customFormat="false" ht="31.5" hidden="false" customHeight="true" outlineLevel="0" collapsed="false">
      <c r="A6" s="3" t="s">
        <v>6</v>
      </c>
      <c r="B6" s="4" t="s">
        <v>7</v>
      </c>
      <c r="C6" s="4"/>
      <c r="D6" s="4"/>
    </row>
    <row r="7" customFormat="false" ht="31.5" hidden="false" customHeight="true" outlineLevel="0" collapsed="false">
      <c r="A7" s="3" t="s">
        <v>8</v>
      </c>
      <c r="B7" s="4" t="s">
        <v>9</v>
      </c>
      <c r="C7" s="4"/>
      <c r="D7" s="4"/>
    </row>
    <row r="8" customFormat="false" ht="31.5" hidden="false" customHeight="true" outlineLevel="0" collapsed="false">
      <c r="A8" s="3" t="s">
        <v>10</v>
      </c>
      <c r="B8" s="4" t="s">
        <v>11</v>
      </c>
      <c r="C8" s="4"/>
      <c r="D8" s="4"/>
    </row>
    <row r="10" customFormat="false" ht="30" hidden="false" customHeight="true" outlineLevel="0" collapsed="false">
      <c r="A10" s="5" t="s">
        <v>12</v>
      </c>
      <c r="B10" s="5" t="s">
        <v>13</v>
      </c>
      <c r="C10" s="5" t="s">
        <v>14</v>
      </c>
    </row>
    <row r="11" customFormat="false" ht="15" hidden="false" customHeight="false" outlineLevel="0" collapsed="false">
      <c r="A11" s="6" t="n">
        <v>1</v>
      </c>
      <c r="B11" s="7" t="s">
        <v>15</v>
      </c>
      <c r="C11" s="7" t="s">
        <v>16</v>
      </c>
    </row>
    <row r="12" customFormat="false" ht="15" hidden="false" customHeight="false" outlineLevel="0" collapsed="false">
      <c r="A12" s="6" t="n">
        <v>2</v>
      </c>
      <c r="B12" s="7" t="s">
        <v>17</v>
      </c>
      <c r="C12" s="7" t="s">
        <v>18</v>
      </c>
    </row>
    <row r="13" customFormat="false" ht="15" hidden="false" customHeight="false" outlineLevel="0" collapsed="false">
      <c r="A13" s="6" t="n">
        <v>3</v>
      </c>
      <c r="B13" s="7" t="s">
        <v>19</v>
      </c>
      <c r="C13" s="7" t="s">
        <v>20</v>
      </c>
    </row>
    <row r="14" customFormat="false" ht="15" hidden="false" customHeight="false" outlineLevel="0" collapsed="false">
      <c r="A14" s="6" t="n">
        <v>4</v>
      </c>
      <c r="B14" s="7" t="s">
        <v>21</v>
      </c>
      <c r="C14" s="7" t="s">
        <v>22</v>
      </c>
    </row>
    <row r="15" customFormat="false" ht="15" hidden="false" customHeight="false" outlineLevel="0" collapsed="false">
      <c r="A15" s="6" t="n">
        <v>5</v>
      </c>
      <c r="B15" s="7" t="s">
        <v>21</v>
      </c>
      <c r="C15" s="7" t="s">
        <v>23</v>
      </c>
    </row>
    <row r="16" customFormat="false" ht="15" hidden="false" customHeight="false" outlineLevel="0" collapsed="false">
      <c r="A16" s="6" t="n">
        <v>6</v>
      </c>
      <c r="B16" s="7" t="s">
        <v>24</v>
      </c>
      <c r="C16" s="7" t="s">
        <v>25</v>
      </c>
    </row>
    <row r="17" customFormat="false" ht="15" hidden="false" customHeight="false" outlineLevel="0" collapsed="false">
      <c r="A17" s="6" t="n">
        <v>7</v>
      </c>
      <c r="B17" s="7" t="s">
        <v>26</v>
      </c>
      <c r="C17" s="7" t="s">
        <v>27</v>
      </c>
    </row>
    <row r="18" customFormat="false" ht="15" hidden="false" customHeight="false" outlineLevel="0" collapsed="false">
      <c r="A18" s="6" t="n">
        <v>8</v>
      </c>
      <c r="B18" s="7" t="s">
        <v>28</v>
      </c>
      <c r="C18" s="7" t="s">
        <v>29</v>
      </c>
    </row>
    <row r="19" customFormat="false" ht="15" hidden="false" customHeight="false" outlineLevel="0" collapsed="false">
      <c r="A19" s="6" t="n">
        <v>9</v>
      </c>
      <c r="B19" s="7" t="s">
        <v>28</v>
      </c>
      <c r="C19" s="7" t="s">
        <v>30</v>
      </c>
    </row>
    <row r="20" customFormat="false" ht="15" hidden="false" customHeight="false" outlineLevel="0" collapsed="false">
      <c r="A20" s="6" t="n">
        <v>10</v>
      </c>
      <c r="B20" s="7" t="s">
        <v>28</v>
      </c>
      <c r="C20" s="7" t="s">
        <v>31</v>
      </c>
    </row>
    <row r="21" customFormat="false" ht="15" hidden="false" customHeight="false" outlineLevel="0" collapsed="false">
      <c r="A21" s="6" t="n">
        <v>11</v>
      </c>
      <c r="B21" s="7" t="s">
        <v>32</v>
      </c>
      <c r="C21" s="7" t="s">
        <v>33</v>
      </c>
    </row>
  </sheetData>
  <mergeCells count="5"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32"/>
    <col collapsed="false" customWidth="true" hidden="false" outlineLevel="0" max="11" min="10" style="0" width="14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30" hidden="false" customHeight="true" outlineLevel="0" collapsed="false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46</v>
      </c>
      <c r="L4" s="5" t="s">
        <v>47</v>
      </c>
    </row>
    <row r="5" customFormat="false" ht="23.85" hidden="false" customHeight="false" outlineLevel="0" collapsed="false">
      <c r="A5" s="6" t="s">
        <v>48</v>
      </c>
      <c r="B5" s="7" t="s">
        <v>49</v>
      </c>
      <c r="C5" s="6" t="n">
        <v>38</v>
      </c>
      <c r="D5" s="7" t="s">
        <v>50</v>
      </c>
      <c r="E5" s="7" t="s">
        <v>51</v>
      </c>
      <c r="F5" s="7" t="s">
        <v>52</v>
      </c>
      <c r="G5" s="6" t="n">
        <v>5</v>
      </c>
      <c r="H5" s="6" t="s">
        <v>53</v>
      </c>
      <c r="I5" s="7" t="s">
        <v>54</v>
      </c>
      <c r="J5" s="6" t="s">
        <v>55</v>
      </c>
      <c r="K5" s="6" t="n">
        <v>45</v>
      </c>
      <c r="L5" s="6" t="s">
        <v>56</v>
      </c>
    </row>
    <row r="6" customFormat="false" ht="15" hidden="false" customHeight="false" outlineLevel="0" collapsed="false">
      <c r="A6" s="8" t="s">
        <v>57</v>
      </c>
      <c r="B6" s="9" t="s">
        <v>58</v>
      </c>
      <c r="C6" s="8" t="n">
        <v>42</v>
      </c>
      <c r="D6" s="9" t="s">
        <v>59</v>
      </c>
      <c r="E6" s="9" t="s">
        <v>60</v>
      </c>
      <c r="F6" s="9" t="s">
        <v>61</v>
      </c>
      <c r="G6" s="8" t="n">
        <v>6</v>
      </c>
      <c r="H6" s="8" t="s">
        <v>53</v>
      </c>
      <c r="I6" s="9" t="s">
        <v>62</v>
      </c>
      <c r="J6" s="8" t="s">
        <v>55</v>
      </c>
      <c r="K6" s="8" t="n">
        <v>50</v>
      </c>
      <c r="L6" s="8" t="s">
        <v>56</v>
      </c>
    </row>
    <row r="7" customFormat="false" ht="15" hidden="false" customHeight="false" outlineLevel="0" collapsed="false">
      <c r="A7" s="6" t="s">
        <v>63</v>
      </c>
      <c r="B7" s="7" t="s">
        <v>64</v>
      </c>
      <c r="C7" s="6" t="n">
        <v>47</v>
      </c>
      <c r="D7" s="7" t="s">
        <v>65</v>
      </c>
      <c r="E7" s="7" t="s">
        <v>66</v>
      </c>
      <c r="F7" s="7" t="s">
        <v>67</v>
      </c>
      <c r="G7" s="6" t="n">
        <v>2</v>
      </c>
      <c r="H7" s="6" t="s">
        <v>68</v>
      </c>
      <c r="I7" s="7" t="s">
        <v>69</v>
      </c>
      <c r="J7" s="6" t="s">
        <v>70</v>
      </c>
      <c r="K7" s="6" t="n">
        <v>40</v>
      </c>
      <c r="L7" s="6" t="s">
        <v>71</v>
      </c>
    </row>
    <row r="8" customFormat="false" ht="15" hidden="false" customHeight="false" outlineLevel="0" collapsed="false">
      <c r="A8" s="8" t="s">
        <v>72</v>
      </c>
      <c r="B8" s="9" t="s">
        <v>73</v>
      </c>
      <c r="C8" s="8" t="n">
        <v>51</v>
      </c>
      <c r="D8" s="9" t="s">
        <v>74</v>
      </c>
      <c r="E8" s="9" t="s">
        <v>75</v>
      </c>
      <c r="F8" s="9" t="s">
        <v>61</v>
      </c>
      <c r="G8" s="8" t="n">
        <v>4</v>
      </c>
      <c r="H8" s="8" t="s">
        <v>53</v>
      </c>
      <c r="I8" s="9" t="s">
        <v>76</v>
      </c>
      <c r="J8" s="8" t="s">
        <v>77</v>
      </c>
      <c r="K8" s="8" t="n">
        <v>40</v>
      </c>
      <c r="L8" s="8" t="s">
        <v>71</v>
      </c>
    </row>
    <row r="9" customFormat="false" ht="15" hidden="false" customHeight="false" outlineLevel="0" collapsed="false">
      <c r="A9" s="6" t="s">
        <v>78</v>
      </c>
      <c r="B9" s="7" t="s">
        <v>79</v>
      </c>
      <c r="C9" s="6" t="n">
        <v>44</v>
      </c>
      <c r="D9" s="7" t="s">
        <v>80</v>
      </c>
      <c r="E9" s="7" t="s">
        <v>81</v>
      </c>
      <c r="F9" s="7" t="s">
        <v>82</v>
      </c>
      <c r="G9" s="6" t="n">
        <v>3</v>
      </c>
      <c r="H9" s="6" t="s">
        <v>83</v>
      </c>
      <c r="I9" s="7" t="s">
        <v>84</v>
      </c>
      <c r="J9" s="6" t="s">
        <v>85</v>
      </c>
      <c r="K9" s="6" t="n">
        <v>45</v>
      </c>
      <c r="L9" s="6" t="s">
        <v>56</v>
      </c>
    </row>
    <row r="10" customFormat="false" ht="15" hidden="false" customHeight="false" outlineLevel="0" collapsed="false">
      <c r="A10" s="8" t="s">
        <v>86</v>
      </c>
      <c r="B10" s="9" t="s">
        <v>87</v>
      </c>
      <c r="C10" s="8" t="n">
        <v>36</v>
      </c>
      <c r="D10" s="9" t="s">
        <v>50</v>
      </c>
      <c r="E10" s="9" t="s">
        <v>88</v>
      </c>
      <c r="F10" s="9" t="s">
        <v>61</v>
      </c>
      <c r="G10" s="8" t="n">
        <v>4</v>
      </c>
      <c r="H10" s="8" t="s">
        <v>83</v>
      </c>
      <c r="I10" s="9" t="s">
        <v>89</v>
      </c>
      <c r="J10" s="8" t="s">
        <v>90</v>
      </c>
      <c r="K10" s="8" t="n">
        <v>35</v>
      </c>
      <c r="L10" s="8" t="s">
        <v>56</v>
      </c>
    </row>
    <row r="11" customFormat="false" ht="15" hidden="false" customHeight="false" outlineLevel="0" collapsed="false">
      <c r="A11" s="6" t="s">
        <v>91</v>
      </c>
      <c r="B11" s="7" t="s">
        <v>92</v>
      </c>
      <c r="C11" s="6" t="n">
        <v>55</v>
      </c>
      <c r="D11" s="7" t="s">
        <v>93</v>
      </c>
      <c r="E11" s="7" t="s">
        <v>94</v>
      </c>
      <c r="F11" s="7" t="s">
        <v>95</v>
      </c>
      <c r="G11" s="6" t="n">
        <v>3</v>
      </c>
      <c r="H11" s="6" t="s">
        <v>83</v>
      </c>
      <c r="I11" s="7" t="s">
        <v>96</v>
      </c>
      <c r="J11" s="6" t="s">
        <v>97</v>
      </c>
      <c r="K11" s="6" t="n">
        <v>40</v>
      </c>
      <c r="L11" s="6" t="s">
        <v>71</v>
      </c>
    </row>
    <row r="12" customFormat="false" ht="15" hidden="false" customHeight="false" outlineLevel="0" collapsed="false">
      <c r="A12" s="8" t="s">
        <v>98</v>
      </c>
      <c r="B12" s="9" t="s">
        <v>99</v>
      </c>
      <c r="C12" s="8" t="n">
        <v>40</v>
      </c>
      <c r="D12" s="9" t="s">
        <v>100</v>
      </c>
      <c r="E12" s="9" t="s">
        <v>101</v>
      </c>
      <c r="F12" s="9" t="s">
        <v>61</v>
      </c>
      <c r="G12" s="8" t="n">
        <v>5</v>
      </c>
      <c r="H12" s="8" t="s">
        <v>53</v>
      </c>
      <c r="I12" s="9" t="s">
        <v>102</v>
      </c>
      <c r="J12" s="8" t="s">
        <v>103</v>
      </c>
      <c r="K12" s="8" t="n">
        <v>50</v>
      </c>
      <c r="L12" s="8" t="s">
        <v>56</v>
      </c>
    </row>
    <row r="13" customFormat="false" ht="15" hidden="false" customHeight="false" outlineLevel="0" collapsed="false">
      <c r="A13" s="6" t="s">
        <v>104</v>
      </c>
      <c r="B13" s="7" t="s">
        <v>105</v>
      </c>
      <c r="C13" s="6" t="n">
        <v>49</v>
      </c>
      <c r="D13" s="7" t="s">
        <v>106</v>
      </c>
      <c r="E13" s="7" t="s">
        <v>107</v>
      </c>
      <c r="F13" s="7" t="s">
        <v>67</v>
      </c>
      <c r="G13" s="6" t="n">
        <v>6</v>
      </c>
      <c r="H13" s="6" t="s">
        <v>53</v>
      </c>
      <c r="I13" s="7" t="s">
        <v>108</v>
      </c>
      <c r="J13" s="6" t="s">
        <v>109</v>
      </c>
      <c r="K13" s="6" t="n">
        <v>45</v>
      </c>
      <c r="L13" s="6" t="s">
        <v>56</v>
      </c>
    </row>
    <row r="14" customFormat="false" ht="15" hidden="false" customHeight="false" outlineLevel="0" collapsed="false">
      <c r="A14" s="8" t="s">
        <v>110</v>
      </c>
      <c r="B14" s="9" t="s">
        <v>111</v>
      </c>
      <c r="C14" s="8" t="n">
        <v>45</v>
      </c>
      <c r="D14" s="9" t="s">
        <v>50</v>
      </c>
      <c r="E14" s="9" t="s">
        <v>112</v>
      </c>
      <c r="F14" s="9" t="s">
        <v>113</v>
      </c>
      <c r="G14" s="8" t="n">
        <v>3</v>
      </c>
      <c r="H14" s="8" t="s">
        <v>83</v>
      </c>
      <c r="I14" s="9" t="s">
        <v>114</v>
      </c>
      <c r="J14" s="8" t="s">
        <v>115</v>
      </c>
      <c r="K14" s="8" t="n">
        <v>35</v>
      </c>
      <c r="L14" s="8" t="s">
        <v>56</v>
      </c>
    </row>
    <row r="15" customFormat="false" ht="15" hidden="false" customHeight="false" outlineLevel="0" collapsed="false">
      <c r="A15" s="6" t="s">
        <v>116</v>
      </c>
      <c r="B15" s="7" t="s">
        <v>117</v>
      </c>
      <c r="C15" s="6" t="n">
        <v>33</v>
      </c>
      <c r="D15" s="7" t="s">
        <v>65</v>
      </c>
      <c r="E15" s="7" t="s">
        <v>118</v>
      </c>
      <c r="F15" s="7" t="s">
        <v>82</v>
      </c>
      <c r="G15" s="6" t="n">
        <v>7</v>
      </c>
      <c r="H15" s="6" t="s">
        <v>53</v>
      </c>
      <c r="I15" s="7" t="s">
        <v>119</v>
      </c>
      <c r="J15" s="6" t="s">
        <v>120</v>
      </c>
      <c r="K15" s="6" t="n">
        <v>50</v>
      </c>
      <c r="L15" s="6" t="s">
        <v>56</v>
      </c>
    </row>
    <row r="16" customFormat="false" ht="15" hidden="false" customHeight="false" outlineLevel="0" collapsed="false">
      <c r="A16" s="8" t="s">
        <v>121</v>
      </c>
      <c r="B16" s="9" t="s">
        <v>122</v>
      </c>
      <c r="C16" s="8" t="n">
        <v>29</v>
      </c>
      <c r="D16" s="9" t="s">
        <v>123</v>
      </c>
      <c r="E16" s="9" t="s">
        <v>124</v>
      </c>
      <c r="F16" s="9" t="s">
        <v>125</v>
      </c>
      <c r="G16" s="8" t="n">
        <v>1</v>
      </c>
      <c r="H16" s="8" t="s">
        <v>68</v>
      </c>
      <c r="I16" s="9" t="s">
        <v>126</v>
      </c>
      <c r="J16" s="8" t="s">
        <v>127</v>
      </c>
      <c r="K16" s="8" t="n">
        <v>35</v>
      </c>
      <c r="L16" s="8" t="s">
        <v>71</v>
      </c>
    </row>
    <row r="18" customFormat="false" ht="15" hidden="false" customHeight="false" outlineLevel="0" collapsed="false">
      <c r="A18" s="3" t="s">
        <v>128</v>
      </c>
      <c r="C18" s="3" t="n">
        <f aca="false">COUNTA(A5:A16)</f>
        <v>12</v>
      </c>
    </row>
    <row r="19" customFormat="false" ht="15" hidden="false" customHeight="false" outlineLevel="0" collapsed="false">
      <c r="A19" s="3" t="s">
        <v>129</v>
      </c>
      <c r="C19" s="3" t="n">
        <f aca="false">COUNTIFS(C5:C16,"&gt;=35",C5:C16,"&lt;=55")</f>
        <v>10</v>
      </c>
    </row>
    <row r="20" customFormat="false" ht="15" hidden="false" customHeight="false" outlineLevel="0" collapsed="false">
      <c r="A20" s="3" t="s">
        <v>130</v>
      </c>
      <c r="C20" s="10" t="n">
        <f aca="false">AVERAGE(C5:C16)</f>
        <v>42.4166666666667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30" hidden="false" customHeight="true" outlineLevel="0" collapsed="false">
      <c r="A4" s="5" t="s">
        <v>36</v>
      </c>
      <c r="B4" s="5" t="s">
        <v>133</v>
      </c>
      <c r="C4" s="5" t="s">
        <v>134</v>
      </c>
      <c r="D4" s="5" t="s">
        <v>13</v>
      </c>
      <c r="E4" s="5" t="s">
        <v>14</v>
      </c>
      <c r="F4" s="5" t="s">
        <v>135</v>
      </c>
    </row>
    <row r="5" customFormat="false" ht="23.85" hidden="false" customHeight="false" outlineLevel="0" collapsed="false">
      <c r="A5" s="6" t="s">
        <v>48</v>
      </c>
      <c r="B5" s="7" t="s">
        <v>49</v>
      </c>
      <c r="C5" s="6" t="n">
        <v>1</v>
      </c>
      <c r="D5" s="7" t="s">
        <v>15</v>
      </c>
      <c r="E5" s="7" t="s">
        <v>16</v>
      </c>
      <c r="F5" s="7" t="s">
        <v>136</v>
      </c>
    </row>
    <row r="6" customFormat="false" ht="23.85" hidden="false" customHeight="false" outlineLevel="0" collapsed="false">
      <c r="A6" s="6" t="s">
        <v>48</v>
      </c>
      <c r="B6" s="7" t="s">
        <v>49</v>
      </c>
      <c r="C6" s="6" t="n">
        <v>2</v>
      </c>
      <c r="D6" s="7" t="s">
        <v>17</v>
      </c>
      <c r="E6" s="7" t="s">
        <v>18</v>
      </c>
      <c r="F6" s="7" t="s">
        <v>137</v>
      </c>
    </row>
    <row r="7" customFormat="false" ht="23.85" hidden="false" customHeight="false" outlineLevel="0" collapsed="false">
      <c r="A7" s="6" t="s">
        <v>48</v>
      </c>
      <c r="B7" s="7" t="s">
        <v>49</v>
      </c>
      <c r="C7" s="6" t="n">
        <v>3</v>
      </c>
      <c r="D7" s="7" t="s">
        <v>19</v>
      </c>
      <c r="E7" s="7" t="s">
        <v>20</v>
      </c>
      <c r="F7" s="7" t="s">
        <v>138</v>
      </c>
    </row>
    <row r="8" customFormat="false" ht="23.85" hidden="false" customHeight="false" outlineLevel="0" collapsed="false">
      <c r="A8" s="6" t="s">
        <v>48</v>
      </c>
      <c r="B8" s="7" t="s">
        <v>49</v>
      </c>
      <c r="C8" s="6" t="n">
        <v>4</v>
      </c>
      <c r="D8" s="7" t="s">
        <v>21</v>
      </c>
      <c r="E8" s="7" t="s">
        <v>22</v>
      </c>
      <c r="F8" s="7" t="s">
        <v>139</v>
      </c>
    </row>
    <row r="9" customFormat="false" ht="23.85" hidden="false" customHeight="false" outlineLevel="0" collapsed="false">
      <c r="A9" s="6" t="s">
        <v>48</v>
      </c>
      <c r="B9" s="7" t="s">
        <v>49</v>
      </c>
      <c r="C9" s="6" t="n">
        <v>5</v>
      </c>
      <c r="D9" s="7" t="s">
        <v>21</v>
      </c>
      <c r="E9" s="7" t="s">
        <v>23</v>
      </c>
      <c r="F9" s="7" t="s">
        <v>140</v>
      </c>
    </row>
    <row r="10" customFormat="false" ht="23.85" hidden="false" customHeight="false" outlineLevel="0" collapsed="false">
      <c r="A10" s="6" t="s">
        <v>48</v>
      </c>
      <c r="B10" s="7" t="s">
        <v>49</v>
      </c>
      <c r="C10" s="6" t="n">
        <v>6</v>
      </c>
      <c r="D10" s="7" t="s">
        <v>24</v>
      </c>
      <c r="E10" s="7" t="s">
        <v>25</v>
      </c>
      <c r="F10" s="7" t="s">
        <v>141</v>
      </c>
    </row>
    <row r="11" customFormat="false" ht="23.85" hidden="false" customHeight="false" outlineLevel="0" collapsed="false">
      <c r="A11" s="6" t="s">
        <v>48</v>
      </c>
      <c r="B11" s="7" t="s">
        <v>49</v>
      </c>
      <c r="C11" s="6" t="n">
        <v>7</v>
      </c>
      <c r="D11" s="7" t="s">
        <v>26</v>
      </c>
      <c r="E11" s="7" t="s">
        <v>27</v>
      </c>
      <c r="F11" s="7" t="s">
        <v>142</v>
      </c>
    </row>
    <row r="12" customFormat="false" ht="23.85" hidden="false" customHeight="false" outlineLevel="0" collapsed="false">
      <c r="A12" s="6" t="s">
        <v>48</v>
      </c>
      <c r="B12" s="7" t="s">
        <v>49</v>
      </c>
      <c r="C12" s="6" t="n">
        <v>8</v>
      </c>
      <c r="D12" s="7" t="s">
        <v>28</v>
      </c>
      <c r="E12" s="7" t="s">
        <v>29</v>
      </c>
      <c r="F12" s="7" t="s">
        <v>143</v>
      </c>
    </row>
    <row r="13" customFormat="false" ht="23.85" hidden="false" customHeight="false" outlineLevel="0" collapsed="false">
      <c r="A13" s="6" t="s">
        <v>48</v>
      </c>
      <c r="B13" s="7" t="s">
        <v>49</v>
      </c>
      <c r="C13" s="6" t="n">
        <v>9</v>
      </c>
      <c r="D13" s="7" t="s">
        <v>28</v>
      </c>
      <c r="E13" s="7" t="s">
        <v>30</v>
      </c>
      <c r="F13" s="7" t="s">
        <v>144</v>
      </c>
    </row>
    <row r="14" customFormat="false" ht="23.85" hidden="false" customHeight="false" outlineLevel="0" collapsed="false">
      <c r="A14" s="6" t="s">
        <v>48</v>
      </c>
      <c r="B14" s="7" t="s">
        <v>49</v>
      </c>
      <c r="C14" s="6" t="n">
        <v>10</v>
      </c>
      <c r="D14" s="7" t="s">
        <v>28</v>
      </c>
      <c r="E14" s="7" t="s">
        <v>31</v>
      </c>
      <c r="F14" s="7" t="s">
        <v>145</v>
      </c>
    </row>
    <row r="15" customFormat="false" ht="23.85" hidden="false" customHeight="false" outlineLevel="0" collapsed="false">
      <c r="A15" s="6" t="s">
        <v>48</v>
      </c>
      <c r="B15" s="7" t="s">
        <v>49</v>
      </c>
      <c r="C15" s="6" t="n">
        <v>11</v>
      </c>
      <c r="D15" s="7" t="s">
        <v>32</v>
      </c>
      <c r="E15" s="7" t="s">
        <v>33</v>
      </c>
      <c r="F15" s="7" t="s">
        <v>146</v>
      </c>
    </row>
    <row r="16" customFormat="false" ht="23.85" hidden="false" customHeight="false" outlineLevel="0" collapsed="false">
      <c r="A16" s="8" t="s">
        <v>57</v>
      </c>
      <c r="B16" s="9" t="s">
        <v>58</v>
      </c>
      <c r="C16" s="8" t="n">
        <v>1</v>
      </c>
      <c r="D16" s="9" t="s">
        <v>15</v>
      </c>
      <c r="E16" s="9" t="s">
        <v>16</v>
      </c>
      <c r="F16" s="9" t="s">
        <v>147</v>
      </c>
    </row>
    <row r="17" customFormat="false" ht="23.85" hidden="false" customHeight="false" outlineLevel="0" collapsed="false">
      <c r="A17" s="8" t="s">
        <v>57</v>
      </c>
      <c r="B17" s="9" t="s">
        <v>58</v>
      </c>
      <c r="C17" s="8" t="n">
        <v>2</v>
      </c>
      <c r="D17" s="9" t="s">
        <v>17</v>
      </c>
      <c r="E17" s="9" t="s">
        <v>18</v>
      </c>
      <c r="F17" s="9" t="s">
        <v>148</v>
      </c>
    </row>
    <row r="18" customFormat="false" ht="23.85" hidden="false" customHeight="false" outlineLevel="0" collapsed="false">
      <c r="A18" s="8" t="s">
        <v>57</v>
      </c>
      <c r="B18" s="9" t="s">
        <v>58</v>
      </c>
      <c r="C18" s="8" t="n">
        <v>3</v>
      </c>
      <c r="D18" s="9" t="s">
        <v>19</v>
      </c>
      <c r="E18" s="9" t="s">
        <v>20</v>
      </c>
      <c r="F18" s="9" t="s">
        <v>149</v>
      </c>
    </row>
    <row r="19" customFormat="false" ht="23.85" hidden="false" customHeight="false" outlineLevel="0" collapsed="false">
      <c r="A19" s="8" t="s">
        <v>57</v>
      </c>
      <c r="B19" s="9" t="s">
        <v>58</v>
      </c>
      <c r="C19" s="8" t="n">
        <v>4</v>
      </c>
      <c r="D19" s="9" t="s">
        <v>21</v>
      </c>
      <c r="E19" s="9" t="s">
        <v>22</v>
      </c>
      <c r="F19" s="9" t="s">
        <v>150</v>
      </c>
    </row>
    <row r="20" customFormat="false" ht="23.85" hidden="false" customHeight="false" outlineLevel="0" collapsed="false">
      <c r="A20" s="8" t="s">
        <v>57</v>
      </c>
      <c r="B20" s="9" t="s">
        <v>58</v>
      </c>
      <c r="C20" s="8" t="n">
        <v>5</v>
      </c>
      <c r="D20" s="9" t="s">
        <v>21</v>
      </c>
      <c r="E20" s="9" t="s">
        <v>23</v>
      </c>
      <c r="F20" s="9" t="s">
        <v>151</v>
      </c>
    </row>
    <row r="21" customFormat="false" ht="23.85" hidden="false" customHeight="false" outlineLevel="0" collapsed="false">
      <c r="A21" s="8" t="s">
        <v>57</v>
      </c>
      <c r="B21" s="9" t="s">
        <v>58</v>
      </c>
      <c r="C21" s="8" t="n">
        <v>6</v>
      </c>
      <c r="D21" s="9" t="s">
        <v>24</v>
      </c>
      <c r="E21" s="9" t="s">
        <v>25</v>
      </c>
      <c r="F21" s="9" t="s">
        <v>152</v>
      </c>
    </row>
    <row r="22" customFormat="false" ht="23.85" hidden="false" customHeight="false" outlineLevel="0" collapsed="false">
      <c r="A22" s="8" t="s">
        <v>57</v>
      </c>
      <c r="B22" s="9" t="s">
        <v>58</v>
      </c>
      <c r="C22" s="8" t="n">
        <v>7</v>
      </c>
      <c r="D22" s="9" t="s">
        <v>26</v>
      </c>
      <c r="E22" s="9" t="s">
        <v>27</v>
      </c>
      <c r="F22" s="9" t="s">
        <v>153</v>
      </c>
    </row>
    <row r="23" customFormat="false" ht="23.85" hidden="false" customHeight="false" outlineLevel="0" collapsed="false">
      <c r="A23" s="8" t="s">
        <v>57</v>
      </c>
      <c r="B23" s="9" t="s">
        <v>58</v>
      </c>
      <c r="C23" s="8" t="n">
        <v>8</v>
      </c>
      <c r="D23" s="9" t="s">
        <v>28</v>
      </c>
      <c r="E23" s="9" t="s">
        <v>29</v>
      </c>
      <c r="F23" s="9" t="s">
        <v>154</v>
      </c>
    </row>
    <row r="24" customFormat="false" ht="23.85" hidden="false" customHeight="false" outlineLevel="0" collapsed="false">
      <c r="A24" s="8" t="s">
        <v>57</v>
      </c>
      <c r="B24" s="9" t="s">
        <v>58</v>
      </c>
      <c r="C24" s="8" t="n">
        <v>9</v>
      </c>
      <c r="D24" s="9" t="s">
        <v>28</v>
      </c>
      <c r="E24" s="9" t="s">
        <v>30</v>
      </c>
      <c r="F24" s="9" t="s">
        <v>155</v>
      </c>
    </row>
    <row r="25" customFormat="false" ht="23.85" hidden="false" customHeight="false" outlineLevel="0" collapsed="false">
      <c r="A25" s="8" t="s">
        <v>57</v>
      </c>
      <c r="B25" s="9" t="s">
        <v>58</v>
      </c>
      <c r="C25" s="8" t="n">
        <v>10</v>
      </c>
      <c r="D25" s="9" t="s">
        <v>28</v>
      </c>
      <c r="E25" s="9" t="s">
        <v>31</v>
      </c>
      <c r="F25" s="9" t="s">
        <v>156</v>
      </c>
    </row>
    <row r="26" customFormat="false" ht="23.85" hidden="false" customHeight="false" outlineLevel="0" collapsed="false">
      <c r="A26" s="8" t="s">
        <v>57</v>
      </c>
      <c r="B26" s="9" t="s">
        <v>58</v>
      </c>
      <c r="C26" s="8" t="n">
        <v>11</v>
      </c>
      <c r="D26" s="9" t="s">
        <v>32</v>
      </c>
      <c r="E26" s="9" t="s">
        <v>33</v>
      </c>
      <c r="F26" s="9" t="s">
        <v>157</v>
      </c>
    </row>
    <row r="27" customFormat="false" ht="23.85" hidden="false" customHeight="false" outlineLevel="0" collapsed="false">
      <c r="A27" s="6" t="s">
        <v>63</v>
      </c>
      <c r="B27" s="7" t="s">
        <v>64</v>
      </c>
      <c r="C27" s="6" t="n">
        <v>1</v>
      </c>
      <c r="D27" s="7" t="s">
        <v>15</v>
      </c>
      <c r="E27" s="7" t="s">
        <v>16</v>
      </c>
      <c r="F27" s="7" t="s">
        <v>158</v>
      </c>
    </row>
    <row r="28" customFormat="false" ht="23.85" hidden="false" customHeight="false" outlineLevel="0" collapsed="false">
      <c r="A28" s="6" t="s">
        <v>63</v>
      </c>
      <c r="B28" s="7" t="s">
        <v>64</v>
      </c>
      <c r="C28" s="6" t="n">
        <v>2</v>
      </c>
      <c r="D28" s="7" t="s">
        <v>17</v>
      </c>
      <c r="E28" s="7" t="s">
        <v>18</v>
      </c>
      <c r="F28" s="7" t="s">
        <v>159</v>
      </c>
    </row>
    <row r="29" customFormat="false" ht="23.85" hidden="false" customHeight="false" outlineLevel="0" collapsed="false">
      <c r="A29" s="6" t="s">
        <v>63</v>
      </c>
      <c r="B29" s="7" t="s">
        <v>64</v>
      </c>
      <c r="C29" s="6" t="n">
        <v>3</v>
      </c>
      <c r="D29" s="7" t="s">
        <v>19</v>
      </c>
      <c r="E29" s="7" t="s">
        <v>20</v>
      </c>
      <c r="F29" s="7" t="s">
        <v>160</v>
      </c>
    </row>
    <row r="30" customFormat="false" ht="23.85" hidden="false" customHeight="false" outlineLevel="0" collapsed="false">
      <c r="A30" s="6" t="s">
        <v>63</v>
      </c>
      <c r="B30" s="7" t="s">
        <v>64</v>
      </c>
      <c r="C30" s="6" t="n">
        <v>4</v>
      </c>
      <c r="D30" s="7" t="s">
        <v>21</v>
      </c>
      <c r="E30" s="7" t="s">
        <v>22</v>
      </c>
      <c r="F30" s="7" t="s">
        <v>161</v>
      </c>
    </row>
    <row r="31" customFormat="false" ht="23.85" hidden="false" customHeight="false" outlineLevel="0" collapsed="false">
      <c r="A31" s="6" t="s">
        <v>63</v>
      </c>
      <c r="B31" s="7" t="s">
        <v>64</v>
      </c>
      <c r="C31" s="6" t="n">
        <v>5</v>
      </c>
      <c r="D31" s="7" t="s">
        <v>21</v>
      </c>
      <c r="E31" s="7" t="s">
        <v>23</v>
      </c>
      <c r="F31" s="7" t="s">
        <v>162</v>
      </c>
    </row>
    <row r="32" customFormat="false" ht="23.85" hidden="false" customHeight="false" outlineLevel="0" collapsed="false">
      <c r="A32" s="6" t="s">
        <v>63</v>
      </c>
      <c r="B32" s="7" t="s">
        <v>64</v>
      </c>
      <c r="C32" s="6" t="n">
        <v>6</v>
      </c>
      <c r="D32" s="7" t="s">
        <v>24</v>
      </c>
      <c r="E32" s="7" t="s">
        <v>25</v>
      </c>
      <c r="F32" s="7" t="s">
        <v>163</v>
      </c>
    </row>
    <row r="33" customFormat="false" ht="23.85" hidden="false" customHeight="false" outlineLevel="0" collapsed="false">
      <c r="A33" s="6" t="s">
        <v>63</v>
      </c>
      <c r="B33" s="7" t="s">
        <v>64</v>
      </c>
      <c r="C33" s="6" t="n">
        <v>7</v>
      </c>
      <c r="D33" s="7" t="s">
        <v>26</v>
      </c>
      <c r="E33" s="7" t="s">
        <v>27</v>
      </c>
      <c r="F33" s="7" t="s">
        <v>164</v>
      </c>
    </row>
    <row r="34" customFormat="false" ht="15" hidden="false" customHeight="false" outlineLevel="0" collapsed="false">
      <c r="A34" s="6" t="s">
        <v>63</v>
      </c>
      <c r="B34" s="7" t="s">
        <v>64</v>
      </c>
      <c r="C34" s="6" t="n">
        <v>8</v>
      </c>
      <c r="D34" s="7" t="s">
        <v>28</v>
      </c>
      <c r="E34" s="7" t="s">
        <v>29</v>
      </c>
      <c r="F34" s="7" t="s">
        <v>165</v>
      </c>
    </row>
    <row r="35" customFormat="false" ht="23.85" hidden="false" customHeight="false" outlineLevel="0" collapsed="false">
      <c r="A35" s="6" t="s">
        <v>63</v>
      </c>
      <c r="B35" s="7" t="s">
        <v>64</v>
      </c>
      <c r="C35" s="6" t="n">
        <v>9</v>
      </c>
      <c r="D35" s="7" t="s">
        <v>28</v>
      </c>
      <c r="E35" s="7" t="s">
        <v>30</v>
      </c>
      <c r="F35" s="7" t="s">
        <v>166</v>
      </c>
    </row>
    <row r="36" customFormat="false" ht="23.85" hidden="false" customHeight="false" outlineLevel="0" collapsed="false">
      <c r="A36" s="6" t="s">
        <v>63</v>
      </c>
      <c r="B36" s="7" t="s">
        <v>64</v>
      </c>
      <c r="C36" s="6" t="n">
        <v>10</v>
      </c>
      <c r="D36" s="7" t="s">
        <v>28</v>
      </c>
      <c r="E36" s="7" t="s">
        <v>31</v>
      </c>
      <c r="F36" s="7" t="s">
        <v>167</v>
      </c>
    </row>
    <row r="37" customFormat="false" ht="23.85" hidden="false" customHeight="false" outlineLevel="0" collapsed="false">
      <c r="A37" s="6" t="s">
        <v>63</v>
      </c>
      <c r="B37" s="7" t="s">
        <v>64</v>
      </c>
      <c r="C37" s="6" t="n">
        <v>11</v>
      </c>
      <c r="D37" s="7" t="s">
        <v>32</v>
      </c>
      <c r="E37" s="7" t="s">
        <v>33</v>
      </c>
      <c r="F37" s="7" t="s">
        <v>168</v>
      </c>
    </row>
    <row r="38" customFormat="false" ht="23.85" hidden="false" customHeight="false" outlineLevel="0" collapsed="false">
      <c r="A38" s="8" t="s">
        <v>72</v>
      </c>
      <c r="B38" s="9" t="s">
        <v>73</v>
      </c>
      <c r="C38" s="8" t="n">
        <v>1</v>
      </c>
      <c r="D38" s="9" t="s">
        <v>15</v>
      </c>
      <c r="E38" s="9" t="s">
        <v>16</v>
      </c>
      <c r="F38" s="9" t="s">
        <v>169</v>
      </c>
    </row>
    <row r="39" customFormat="false" ht="23.85" hidden="false" customHeight="false" outlineLevel="0" collapsed="false">
      <c r="A39" s="8" t="s">
        <v>72</v>
      </c>
      <c r="B39" s="9" t="s">
        <v>73</v>
      </c>
      <c r="C39" s="8" t="n">
        <v>2</v>
      </c>
      <c r="D39" s="9" t="s">
        <v>17</v>
      </c>
      <c r="E39" s="9" t="s">
        <v>18</v>
      </c>
      <c r="F39" s="9" t="s">
        <v>170</v>
      </c>
    </row>
    <row r="40" customFormat="false" ht="23.85" hidden="false" customHeight="false" outlineLevel="0" collapsed="false">
      <c r="A40" s="8" t="s">
        <v>72</v>
      </c>
      <c r="B40" s="9" t="s">
        <v>73</v>
      </c>
      <c r="C40" s="8" t="n">
        <v>3</v>
      </c>
      <c r="D40" s="9" t="s">
        <v>19</v>
      </c>
      <c r="E40" s="9" t="s">
        <v>20</v>
      </c>
      <c r="F40" s="9" t="s">
        <v>171</v>
      </c>
    </row>
    <row r="41" customFormat="false" ht="23.85" hidden="false" customHeight="false" outlineLevel="0" collapsed="false">
      <c r="A41" s="8" t="s">
        <v>72</v>
      </c>
      <c r="B41" s="9" t="s">
        <v>73</v>
      </c>
      <c r="C41" s="8" t="n">
        <v>4</v>
      </c>
      <c r="D41" s="9" t="s">
        <v>21</v>
      </c>
      <c r="E41" s="9" t="s">
        <v>22</v>
      </c>
      <c r="F41" s="9" t="s">
        <v>172</v>
      </c>
    </row>
    <row r="42" customFormat="false" ht="23.85" hidden="false" customHeight="false" outlineLevel="0" collapsed="false">
      <c r="A42" s="8" t="s">
        <v>72</v>
      </c>
      <c r="B42" s="9" t="s">
        <v>73</v>
      </c>
      <c r="C42" s="8" t="n">
        <v>5</v>
      </c>
      <c r="D42" s="9" t="s">
        <v>21</v>
      </c>
      <c r="E42" s="9" t="s">
        <v>23</v>
      </c>
      <c r="F42" s="9" t="s">
        <v>173</v>
      </c>
    </row>
    <row r="43" customFormat="false" ht="23.85" hidden="false" customHeight="false" outlineLevel="0" collapsed="false">
      <c r="A43" s="8" t="s">
        <v>72</v>
      </c>
      <c r="B43" s="9" t="s">
        <v>73</v>
      </c>
      <c r="C43" s="8" t="n">
        <v>6</v>
      </c>
      <c r="D43" s="9" t="s">
        <v>24</v>
      </c>
      <c r="E43" s="9" t="s">
        <v>25</v>
      </c>
      <c r="F43" s="9" t="s">
        <v>174</v>
      </c>
    </row>
    <row r="44" customFormat="false" ht="23.85" hidden="false" customHeight="false" outlineLevel="0" collapsed="false">
      <c r="A44" s="8" t="s">
        <v>72</v>
      </c>
      <c r="B44" s="9" t="s">
        <v>73</v>
      </c>
      <c r="C44" s="8" t="n">
        <v>7</v>
      </c>
      <c r="D44" s="9" t="s">
        <v>26</v>
      </c>
      <c r="E44" s="9" t="s">
        <v>27</v>
      </c>
      <c r="F44" s="9" t="s">
        <v>175</v>
      </c>
    </row>
    <row r="45" customFormat="false" ht="15" hidden="false" customHeight="false" outlineLevel="0" collapsed="false">
      <c r="A45" s="8" t="s">
        <v>72</v>
      </c>
      <c r="B45" s="9" t="s">
        <v>73</v>
      </c>
      <c r="C45" s="8" t="n">
        <v>8</v>
      </c>
      <c r="D45" s="9" t="s">
        <v>28</v>
      </c>
      <c r="E45" s="9" t="s">
        <v>29</v>
      </c>
      <c r="F45" s="9" t="s">
        <v>176</v>
      </c>
    </row>
    <row r="46" customFormat="false" ht="23.85" hidden="false" customHeight="false" outlineLevel="0" collapsed="false">
      <c r="A46" s="8" t="s">
        <v>72</v>
      </c>
      <c r="B46" s="9" t="s">
        <v>73</v>
      </c>
      <c r="C46" s="8" t="n">
        <v>9</v>
      </c>
      <c r="D46" s="9" t="s">
        <v>28</v>
      </c>
      <c r="E46" s="9" t="s">
        <v>30</v>
      </c>
      <c r="F46" s="9" t="s">
        <v>177</v>
      </c>
    </row>
    <row r="47" customFormat="false" ht="23.85" hidden="false" customHeight="false" outlineLevel="0" collapsed="false">
      <c r="A47" s="8" t="s">
        <v>72</v>
      </c>
      <c r="B47" s="9" t="s">
        <v>73</v>
      </c>
      <c r="C47" s="8" t="n">
        <v>10</v>
      </c>
      <c r="D47" s="9" t="s">
        <v>28</v>
      </c>
      <c r="E47" s="9" t="s">
        <v>31</v>
      </c>
      <c r="F47" s="9" t="s">
        <v>178</v>
      </c>
    </row>
    <row r="48" customFormat="false" ht="23.85" hidden="false" customHeight="false" outlineLevel="0" collapsed="false">
      <c r="A48" s="8" t="s">
        <v>72</v>
      </c>
      <c r="B48" s="9" t="s">
        <v>73</v>
      </c>
      <c r="C48" s="8" t="n">
        <v>11</v>
      </c>
      <c r="D48" s="9" t="s">
        <v>32</v>
      </c>
      <c r="E48" s="9" t="s">
        <v>33</v>
      </c>
      <c r="F48" s="9" t="s">
        <v>179</v>
      </c>
    </row>
    <row r="49" customFormat="false" ht="23.85" hidden="false" customHeight="false" outlineLevel="0" collapsed="false">
      <c r="A49" s="6" t="s">
        <v>78</v>
      </c>
      <c r="B49" s="7" t="s">
        <v>79</v>
      </c>
      <c r="C49" s="6" t="n">
        <v>1</v>
      </c>
      <c r="D49" s="7" t="s">
        <v>15</v>
      </c>
      <c r="E49" s="7" t="s">
        <v>16</v>
      </c>
      <c r="F49" s="7" t="s">
        <v>180</v>
      </c>
    </row>
    <row r="50" customFormat="false" ht="23.85" hidden="false" customHeight="false" outlineLevel="0" collapsed="false">
      <c r="A50" s="6" t="s">
        <v>78</v>
      </c>
      <c r="B50" s="7" t="s">
        <v>79</v>
      </c>
      <c r="C50" s="6" t="n">
        <v>2</v>
      </c>
      <c r="D50" s="7" t="s">
        <v>17</v>
      </c>
      <c r="E50" s="7" t="s">
        <v>18</v>
      </c>
      <c r="F50" s="7" t="s">
        <v>181</v>
      </c>
    </row>
    <row r="51" customFormat="false" ht="23.85" hidden="false" customHeight="false" outlineLevel="0" collapsed="false">
      <c r="A51" s="6" t="s">
        <v>78</v>
      </c>
      <c r="B51" s="7" t="s">
        <v>79</v>
      </c>
      <c r="C51" s="6" t="n">
        <v>3</v>
      </c>
      <c r="D51" s="7" t="s">
        <v>19</v>
      </c>
      <c r="E51" s="7" t="s">
        <v>20</v>
      </c>
      <c r="F51" s="7" t="s">
        <v>182</v>
      </c>
    </row>
    <row r="52" customFormat="false" ht="23.85" hidden="false" customHeight="false" outlineLevel="0" collapsed="false">
      <c r="A52" s="6" t="s">
        <v>78</v>
      </c>
      <c r="B52" s="7" t="s">
        <v>79</v>
      </c>
      <c r="C52" s="6" t="n">
        <v>4</v>
      </c>
      <c r="D52" s="7" t="s">
        <v>21</v>
      </c>
      <c r="E52" s="7" t="s">
        <v>22</v>
      </c>
      <c r="F52" s="7" t="s">
        <v>183</v>
      </c>
    </row>
    <row r="53" customFormat="false" ht="23.85" hidden="false" customHeight="false" outlineLevel="0" collapsed="false">
      <c r="A53" s="6" t="s">
        <v>78</v>
      </c>
      <c r="B53" s="7" t="s">
        <v>79</v>
      </c>
      <c r="C53" s="6" t="n">
        <v>5</v>
      </c>
      <c r="D53" s="7" t="s">
        <v>21</v>
      </c>
      <c r="E53" s="7" t="s">
        <v>23</v>
      </c>
      <c r="F53" s="7" t="s">
        <v>184</v>
      </c>
    </row>
    <row r="54" customFormat="false" ht="23.85" hidden="false" customHeight="false" outlineLevel="0" collapsed="false">
      <c r="A54" s="6" t="s">
        <v>78</v>
      </c>
      <c r="B54" s="7" t="s">
        <v>79</v>
      </c>
      <c r="C54" s="6" t="n">
        <v>6</v>
      </c>
      <c r="D54" s="7" t="s">
        <v>24</v>
      </c>
      <c r="E54" s="7" t="s">
        <v>25</v>
      </c>
      <c r="F54" s="7" t="s">
        <v>185</v>
      </c>
    </row>
    <row r="55" customFormat="false" ht="23.85" hidden="false" customHeight="false" outlineLevel="0" collapsed="false">
      <c r="A55" s="6" t="s">
        <v>78</v>
      </c>
      <c r="B55" s="7" t="s">
        <v>79</v>
      </c>
      <c r="C55" s="6" t="n">
        <v>7</v>
      </c>
      <c r="D55" s="7" t="s">
        <v>26</v>
      </c>
      <c r="E55" s="7" t="s">
        <v>27</v>
      </c>
      <c r="F55" s="7" t="s">
        <v>186</v>
      </c>
    </row>
    <row r="56" customFormat="false" ht="15" hidden="false" customHeight="false" outlineLevel="0" collapsed="false">
      <c r="A56" s="6" t="s">
        <v>78</v>
      </c>
      <c r="B56" s="7" t="s">
        <v>79</v>
      </c>
      <c r="C56" s="6" t="n">
        <v>8</v>
      </c>
      <c r="D56" s="7" t="s">
        <v>28</v>
      </c>
      <c r="E56" s="7" t="s">
        <v>29</v>
      </c>
      <c r="F56" s="7" t="s">
        <v>187</v>
      </c>
    </row>
    <row r="57" customFormat="false" ht="23.85" hidden="false" customHeight="false" outlineLevel="0" collapsed="false">
      <c r="A57" s="6" t="s">
        <v>78</v>
      </c>
      <c r="B57" s="7" t="s">
        <v>79</v>
      </c>
      <c r="C57" s="6" t="n">
        <v>9</v>
      </c>
      <c r="D57" s="7" t="s">
        <v>28</v>
      </c>
      <c r="E57" s="7" t="s">
        <v>30</v>
      </c>
      <c r="F57" s="7" t="s">
        <v>188</v>
      </c>
    </row>
    <row r="58" customFormat="false" ht="23.85" hidden="false" customHeight="false" outlineLevel="0" collapsed="false">
      <c r="A58" s="6" t="s">
        <v>78</v>
      </c>
      <c r="B58" s="7" t="s">
        <v>79</v>
      </c>
      <c r="C58" s="6" t="n">
        <v>10</v>
      </c>
      <c r="D58" s="7" t="s">
        <v>28</v>
      </c>
      <c r="E58" s="7" t="s">
        <v>31</v>
      </c>
      <c r="F58" s="7" t="s">
        <v>189</v>
      </c>
    </row>
    <row r="59" customFormat="false" ht="23.85" hidden="false" customHeight="false" outlineLevel="0" collapsed="false">
      <c r="A59" s="6" t="s">
        <v>78</v>
      </c>
      <c r="B59" s="7" t="s">
        <v>79</v>
      </c>
      <c r="C59" s="6" t="n">
        <v>11</v>
      </c>
      <c r="D59" s="7" t="s">
        <v>32</v>
      </c>
      <c r="E59" s="7" t="s">
        <v>33</v>
      </c>
      <c r="F59" s="7" t="s">
        <v>190</v>
      </c>
    </row>
    <row r="60" customFormat="false" ht="23.85" hidden="false" customHeight="false" outlineLevel="0" collapsed="false">
      <c r="A60" s="8" t="s">
        <v>86</v>
      </c>
      <c r="B60" s="9" t="s">
        <v>87</v>
      </c>
      <c r="C60" s="8" t="n">
        <v>1</v>
      </c>
      <c r="D60" s="9" t="s">
        <v>15</v>
      </c>
      <c r="E60" s="9" t="s">
        <v>16</v>
      </c>
      <c r="F60" s="9" t="s">
        <v>191</v>
      </c>
    </row>
    <row r="61" customFormat="false" ht="23.85" hidden="false" customHeight="false" outlineLevel="0" collapsed="false">
      <c r="A61" s="8" t="s">
        <v>86</v>
      </c>
      <c r="B61" s="9" t="s">
        <v>87</v>
      </c>
      <c r="C61" s="8" t="n">
        <v>2</v>
      </c>
      <c r="D61" s="9" t="s">
        <v>17</v>
      </c>
      <c r="E61" s="9" t="s">
        <v>18</v>
      </c>
      <c r="F61" s="9" t="s">
        <v>192</v>
      </c>
    </row>
    <row r="62" customFormat="false" ht="23.85" hidden="false" customHeight="false" outlineLevel="0" collapsed="false">
      <c r="A62" s="8" t="s">
        <v>86</v>
      </c>
      <c r="B62" s="9" t="s">
        <v>87</v>
      </c>
      <c r="C62" s="8" t="n">
        <v>3</v>
      </c>
      <c r="D62" s="9" t="s">
        <v>19</v>
      </c>
      <c r="E62" s="9" t="s">
        <v>20</v>
      </c>
      <c r="F62" s="9" t="s">
        <v>193</v>
      </c>
    </row>
    <row r="63" customFormat="false" ht="23.85" hidden="false" customHeight="false" outlineLevel="0" collapsed="false">
      <c r="A63" s="8" t="s">
        <v>86</v>
      </c>
      <c r="B63" s="9" t="s">
        <v>87</v>
      </c>
      <c r="C63" s="8" t="n">
        <v>4</v>
      </c>
      <c r="D63" s="9" t="s">
        <v>21</v>
      </c>
      <c r="E63" s="9" t="s">
        <v>22</v>
      </c>
      <c r="F63" s="9" t="s">
        <v>194</v>
      </c>
    </row>
    <row r="64" customFormat="false" ht="23.85" hidden="false" customHeight="false" outlineLevel="0" collapsed="false">
      <c r="A64" s="8" t="s">
        <v>86</v>
      </c>
      <c r="B64" s="9" t="s">
        <v>87</v>
      </c>
      <c r="C64" s="8" t="n">
        <v>5</v>
      </c>
      <c r="D64" s="9" t="s">
        <v>21</v>
      </c>
      <c r="E64" s="9" t="s">
        <v>23</v>
      </c>
      <c r="F64" s="9" t="s">
        <v>195</v>
      </c>
    </row>
    <row r="65" customFormat="false" ht="23.85" hidden="false" customHeight="false" outlineLevel="0" collapsed="false">
      <c r="A65" s="8" t="s">
        <v>86</v>
      </c>
      <c r="B65" s="9" t="s">
        <v>87</v>
      </c>
      <c r="C65" s="8" t="n">
        <v>6</v>
      </c>
      <c r="D65" s="9" t="s">
        <v>24</v>
      </c>
      <c r="E65" s="9" t="s">
        <v>25</v>
      </c>
      <c r="F65" s="9" t="s">
        <v>196</v>
      </c>
    </row>
    <row r="66" customFormat="false" ht="23.85" hidden="false" customHeight="false" outlineLevel="0" collapsed="false">
      <c r="A66" s="8" t="s">
        <v>86</v>
      </c>
      <c r="B66" s="9" t="s">
        <v>87</v>
      </c>
      <c r="C66" s="8" t="n">
        <v>7</v>
      </c>
      <c r="D66" s="9" t="s">
        <v>26</v>
      </c>
      <c r="E66" s="9" t="s">
        <v>27</v>
      </c>
      <c r="F66" s="9" t="s">
        <v>197</v>
      </c>
    </row>
    <row r="67" customFormat="false" ht="15" hidden="false" customHeight="false" outlineLevel="0" collapsed="false">
      <c r="A67" s="8" t="s">
        <v>86</v>
      </c>
      <c r="B67" s="9" t="s">
        <v>87</v>
      </c>
      <c r="C67" s="8" t="n">
        <v>8</v>
      </c>
      <c r="D67" s="9" t="s">
        <v>28</v>
      </c>
      <c r="E67" s="9" t="s">
        <v>29</v>
      </c>
      <c r="F67" s="9" t="s">
        <v>198</v>
      </c>
    </row>
    <row r="68" customFormat="false" ht="23.85" hidden="false" customHeight="false" outlineLevel="0" collapsed="false">
      <c r="A68" s="8" t="s">
        <v>86</v>
      </c>
      <c r="B68" s="9" t="s">
        <v>87</v>
      </c>
      <c r="C68" s="8" t="n">
        <v>9</v>
      </c>
      <c r="D68" s="9" t="s">
        <v>28</v>
      </c>
      <c r="E68" s="9" t="s">
        <v>30</v>
      </c>
      <c r="F68" s="9" t="s">
        <v>199</v>
      </c>
    </row>
    <row r="69" customFormat="false" ht="23.85" hidden="false" customHeight="false" outlineLevel="0" collapsed="false">
      <c r="A69" s="8" t="s">
        <v>86</v>
      </c>
      <c r="B69" s="9" t="s">
        <v>87</v>
      </c>
      <c r="C69" s="8" t="n">
        <v>10</v>
      </c>
      <c r="D69" s="9" t="s">
        <v>28</v>
      </c>
      <c r="E69" s="9" t="s">
        <v>31</v>
      </c>
      <c r="F69" s="9" t="s">
        <v>200</v>
      </c>
    </row>
    <row r="70" customFormat="false" ht="23.85" hidden="false" customHeight="false" outlineLevel="0" collapsed="false">
      <c r="A70" s="8" t="s">
        <v>86</v>
      </c>
      <c r="B70" s="9" t="s">
        <v>87</v>
      </c>
      <c r="C70" s="8" t="n">
        <v>11</v>
      </c>
      <c r="D70" s="9" t="s">
        <v>32</v>
      </c>
      <c r="E70" s="9" t="s">
        <v>33</v>
      </c>
      <c r="F70" s="9" t="s">
        <v>201</v>
      </c>
    </row>
    <row r="71" customFormat="false" ht="23.85" hidden="false" customHeight="false" outlineLevel="0" collapsed="false">
      <c r="A71" s="6" t="s">
        <v>91</v>
      </c>
      <c r="B71" s="7" t="s">
        <v>92</v>
      </c>
      <c r="C71" s="6" t="n">
        <v>1</v>
      </c>
      <c r="D71" s="7" t="s">
        <v>15</v>
      </c>
      <c r="E71" s="7" t="s">
        <v>16</v>
      </c>
      <c r="F71" s="7" t="s">
        <v>202</v>
      </c>
    </row>
    <row r="72" customFormat="false" ht="23.85" hidden="false" customHeight="false" outlineLevel="0" collapsed="false">
      <c r="A72" s="6" t="s">
        <v>91</v>
      </c>
      <c r="B72" s="7" t="s">
        <v>92</v>
      </c>
      <c r="C72" s="6" t="n">
        <v>2</v>
      </c>
      <c r="D72" s="7" t="s">
        <v>17</v>
      </c>
      <c r="E72" s="7" t="s">
        <v>18</v>
      </c>
      <c r="F72" s="7" t="s">
        <v>203</v>
      </c>
    </row>
    <row r="73" customFormat="false" ht="23.85" hidden="false" customHeight="false" outlineLevel="0" collapsed="false">
      <c r="A73" s="6" t="s">
        <v>91</v>
      </c>
      <c r="B73" s="7" t="s">
        <v>92</v>
      </c>
      <c r="C73" s="6" t="n">
        <v>3</v>
      </c>
      <c r="D73" s="7" t="s">
        <v>19</v>
      </c>
      <c r="E73" s="7" t="s">
        <v>20</v>
      </c>
      <c r="F73" s="7" t="s">
        <v>204</v>
      </c>
    </row>
    <row r="74" customFormat="false" ht="23.85" hidden="false" customHeight="false" outlineLevel="0" collapsed="false">
      <c r="A74" s="6" t="s">
        <v>91</v>
      </c>
      <c r="B74" s="7" t="s">
        <v>92</v>
      </c>
      <c r="C74" s="6" t="n">
        <v>4</v>
      </c>
      <c r="D74" s="7" t="s">
        <v>21</v>
      </c>
      <c r="E74" s="7" t="s">
        <v>22</v>
      </c>
      <c r="F74" s="7" t="s">
        <v>205</v>
      </c>
    </row>
    <row r="75" customFormat="false" ht="23.85" hidden="false" customHeight="false" outlineLevel="0" collapsed="false">
      <c r="A75" s="6" t="s">
        <v>91</v>
      </c>
      <c r="B75" s="7" t="s">
        <v>92</v>
      </c>
      <c r="C75" s="6" t="n">
        <v>5</v>
      </c>
      <c r="D75" s="7" t="s">
        <v>21</v>
      </c>
      <c r="E75" s="7" t="s">
        <v>23</v>
      </c>
      <c r="F75" s="7" t="s">
        <v>206</v>
      </c>
    </row>
    <row r="76" customFormat="false" ht="23.85" hidden="false" customHeight="false" outlineLevel="0" collapsed="false">
      <c r="A76" s="6" t="s">
        <v>91</v>
      </c>
      <c r="B76" s="7" t="s">
        <v>92</v>
      </c>
      <c r="C76" s="6" t="n">
        <v>6</v>
      </c>
      <c r="D76" s="7" t="s">
        <v>24</v>
      </c>
      <c r="E76" s="7" t="s">
        <v>25</v>
      </c>
      <c r="F76" s="7" t="s">
        <v>207</v>
      </c>
    </row>
    <row r="77" customFormat="false" ht="23.85" hidden="false" customHeight="false" outlineLevel="0" collapsed="false">
      <c r="A77" s="6" t="s">
        <v>91</v>
      </c>
      <c r="B77" s="7" t="s">
        <v>92</v>
      </c>
      <c r="C77" s="6" t="n">
        <v>7</v>
      </c>
      <c r="D77" s="7" t="s">
        <v>26</v>
      </c>
      <c r="E77" s="7" t="s">
        <v>27</v>
      </c>
      <c r="F77" s="7" t="s">
        <v>208</v>
      </c>
    </row>
    <row r="78" customFormat="false" ht="15" hidden="false" customHeight="false" outlineLevel="0" collapsed="false">
      <c r="A78" s="6" t="s">
        <v>91</v>
      </c>
      <c r="B78" s="7" t="s">
        <v>92</v>
      </c>
      <c r="C78" s="6" t="n">
        <v>8</v>
      </c>
      <c r="D78" s="7" t="s">
        <v>28</v>
      </c>
      <c r="E78" s="7" t="s">
        <v>29</v>
      </c>
      <c r="F78" s="7" t="s">
        <v>209</v>
      </c>
    </row>
    <row r="79" customFormat="false" ht="23.85" hidden="false" customHeight="false" outlineLevel="0" collapsed="false">
      <c r="A79" s="6" t="s">
        <v>91</v>
      </c>
      <c r="B79" s="7" t="s">
        <v>92</v>
      </c>
      <c r="C79" s="6" t="n">
        <v>9</v>
      </c>
      <c r="D79" s="7" t="s">
        <v>28</v>
      </c>
      <c r="E79" s="7" t="s">
        <v>30</v>
      </c>
      <c r="F79" s="7" t="s">
        <v>210</v>
      </c>
    </row>
    <row r="80" customFormat="false" ht="23.85" hidden="false" customHeight="false" outlineLevel="0" collapsed="false">
      <c r="A80" s="6" t="s">
        <v>91</v>
      </c>
      <c r="B80" s="7" t="s">
        <v>92</v>
      </c>
      <c r="C80" s="6" t="n">
        <v>10</v>
      </c>
      <c r="D80" s="7" t="s">
        <v>28</v>
      </c>
      <c r="E80" s="7" t="s">
        <v>31</v>
      </c>
      <c r="F80" s="7" t="s">
        <v>211</v>
      </c>
    </row>
    <row r="81" customFormat="false" ht="23.85" hidden="false" customHeight="false" outlineLevel="0" collapsed="false">
      <c r="A81" s="6" t="s">
        <v>91</v>
      </c>
      <c r="B81" s="7" t="s">
        <v>92</v>
      </c>
      <c r="C81" s="6" t="n">
        <v>11</v>
      </c>
      <c r="D81" s="7" t="s">
        <v>32</v>
      </c>
      <c r="E81" s="7" t="s">
        <v>33</v>
      </c>
      <c r="F81" s="7" t="s">
        <v>212</v>
      </c>
    </row>
    <row r="82" customFormat="false" ht="23.85" hidden="false" customHeight="false" outlineLevel="0" collapsed="false">
      <c r="A82" s="8" t="s">
        <v>98</v>
      </c>
      <c r="B82" s="9" t="s">
        <v>99</v>
      </c>
      <c r="C82" s="8" t="n">
        <v>1</v>
      </c>
      <c r="D82" s="9" t="s">
        <v>15</v>
      </c>
      <c r="E82" s="9" t="s">
        <v>16</v>
      </c>
      <c r="F82" s="9" t="s">
        <v>213</v>
      </c>
    </row>
    <row r="83" customFormat="false" ht="23.85" hidden="false" customHeight="false" outlineLevel="0" collapsed="false">
      <c r="A83" s="8" t="s">
        <v>98</v>
      </c>
      <c r="B83" s="9" t="s">
        <v>99</v>
      </c>
      <c r="C83" s="8" t="n">
        <v>2</v>
      </c>
      <c r="D83" s="9" t="s">
        <v>17</v>
      </c>
      <c r="E83" s="9" t="s">
        <v>18</v>
      </c>
      <c r="F83" s="9" t="s">
        <v>214</v>
      </c>
    </row>
    <row r="84" customFormat="false" ht="23.85" hidden="false" customHeight="false" outlineLevel="0" collapsed="false">
      <c r="A84" s="8" t="s">
        <v>98</v>
      </c>
      <c r="B84" s="9" t="s">
        <v>99</v>
      </c>
      <c r="C84" s="8" t="n">
        <v>3</v>
      </c>
      <c r="D84" s="9" t="s">
        <v>19</v>
      </c>
      <c r="E84" s="9" t="s">
        <v>20</v>
      </c>
      <c r="F84" s="9" t="s">
        <v>215</v>
      </c>
    </row>
    <row r="85" customFormat="false" ht="23.85" hidden="false" customHeight="false" outlineLevel="0" collapsed="false">
      <c r="A85" s="8" t="s">
        <v>98</v>
      </c>
      <c r="B85" s="9" t="s">
        <v>99</v>
      </c>
      <c r="C85" s="8" t="n">
        <v>4</v>
      </c>
      <c r="D85" s="9" t="s">
        <v>21</v>
      </c>
      <c r="E85" s="9" t="s">
        <v>22</v>
      </c>
      <c r="F85" s="9" t="s">
        <v>216</v>
      </c>
    </row>
    <row r="86" customFormat="false" ht="23.85" hidden="false" customHeight="false" outlineLevel="0" collapsed="false">
      <c r="A86" s="8" t="s">
        <v>98</v>
      </c>
      <c r="B86" s="9" t="s">
        <v>99</v>
      </c>
      <c r="C86" s="8" t="n">
        <v>5</v>
      </c>
      <c r="D86" s="9" t="s">
        <v>21</v>
      </c>
      <c r="E86" s="9" t="s">
        <v>23</v>
      </c>
      <c r="F86" s="9" t="s">
        <v>217</v>
      </c>
    </row>
    <row r="87" customFormat="false" ht="23.85" hidden="false" customHeight="false" outlineLevel="0" collapsed="false">
      <c r="A87" s="8" t="s">
        <v>98</v>
      </c>
      <c r="B87" s="9" t="s">
        <v>99</v>
      </c>
      <c r="C87" s="8" t="n">
        <v>6</v>
      </c>
      <c r="D87" s="9" t="s">
        <v>24</v>
      </c>
      <c r="E87" s="9" t="s">
        <v>25</v>
      </c>
      <c r="F87" s="9" t="s">
        <v>218</v>
      </c>
    </row>
    <row r="88" customFormat="false" ht="23.85" hidden="false" customHeight="false" outlineLevel="0" collapsed="false">
      <c r="A88" s="8" t="s">
        <v>98</v>
      </c>
      <c r="B88" s="9" t="s">
        <v>99</v>
      </c>
      <c r="C88" s="8" t="n">
        <v>7</v>
      </c>
      <c r="D88" s="9" t="s">
        <v>26</v>
      </c>
      <c r="E88" s="9" t="s">
        <v>27</v>
      </c>
      <c r="F88" s="9" t="s">
        <v>219</v>
      </c>
    </row>
    <row r="89" customFormat="false" ht="23.85" hidden="false" customHeight="false" outlineLevel="0" collapsed="false">
      <c r="A89" s="8" t="s">
        <v>98</v>
      </c>
      <c r="B89" s="9" t="s">
        <v>99</v>
      </c>
      <c r="C89" s="8" t="n">
        <v>8</v>
      </c>
      <c r="D89" s="9" t="s">
        <v>28</v>
      </c>
      <c r="E89" s="9" t="s">
        <v>29</v>
      </c>
      <c r="F89" s="9" t="s">
        <v>220</v>
      </c>
    </row>
    <row r="90" customFormat="false" ht="23.85" hidden="false" customHeight="false" outlineLevel="0" collapsed="false">
      <c r="A90" s="8" t="s">
        <v>98</v>
      </c>
      <c r="B90" s="9" t="s">
        <v>99</v>
      </c>
      <c r="C90" s="8" t="n">
        <v>9</v>
      </c>
      <c r="D90" s="9" t="s">
        <v>28</v>
      </c>
      <c r="E90" s="9" t="s">
        <v>30</v>
      </c>
      <c r="F90" s="9" t="s">
        <v>221</v>
      </c>
    </row>
    <row r="91" customFormat="false" ht="23.85" hidden="false" customHeight="false" outlineLevel="0" collapsed="false">
      <c r="A91" s="8" t="s">
        <v>98</v>
      </c>
      <c r="B91" s="9" t="s">
        <v>99</v>
      </c>
      <c r="C91" s="8" t="n">
        <v>10</v>
      </c>
      <c r="D91" s="9" t="s">
        <v>28</v>
      </c>
      <c r="E91" s="9" t="s">
        <v>31</v>
      </c>
      <c r="F91" s="9" t="s">
        <v>222</v>
      </c>
    </row>
    <row r="92" customFormat="false" ht="23.85" hidden="false" customHeight="false" outlineLevel="0" collapsed="false">
      <c r="A92" s="8" t="s">
        <v>98</v>
      </c>
      <c r="B92" s="9" t="s">
        <v>99</v>
      </c>
      <c r="C92" s="8" t="n">
        <v>11</v>
      </c>
      <c r="D92" s="9" t="s">
        <v>32</v>
      </c>
      <c r="E92" s="9" t="s">
        <v>33</v>
      </c>
      <c r="F92" s="9" t="s">
        <v>223</v>
      </c>
    </row>
    <row r="93" customFormat="false" ht="23.85" hidden="false" customHeight="false" outlineLevel="0" collapsed="false">
      <c r="A93" s="6" t="s">
        <v>104</v>
      </c>
      <c r="B93" s="7" t="s">
        <v>105</v>
      </c>
      <c r="C93" s="6" t="n">
        <v>1</v>
      </c>
      <c r="D93" s="7" t="s">
        <v>15</v>
      </c>
      <c r="E93" s="7" t="s">
        <v>16</v>
      </c>
      <c r="F93" s="7" t="s">
        <v>224</v>
      </c>
    </row>
    <row r="94" customFormat="false" ht="23.85" hidden="false" customHeight="false" outlineLevel="0" collapsed="false">
      <c r="A94" s="6" t="s">
        <v>104</v>
      </c>
      <c r="B94" s="7" t="s">
        <v>105</v>
      </c>
      <c r="C94" s="6" t="n">
        <v>2</v>
      </c>
      <c r="D94" s="7" t="s">
        <v>17</v>
      </c>
      <c r="E94" s="7" t="s">
        <v>18</v>
      </c>
      <c r="F94" s="7" t="s">
        <v>225</v>
      </c>
    </row>
    <row r="95" customFormat="false" ht="23.85" hidden="false" customHeight="false" outlineLevel="0" collapsed="false">
      <c r="A95" s="6" t="s">
        <v>104</v>
      </c>
      <c r="B95" s="7" t="s">
        <v>105</v>
      </c>
      <c r="C95" s="6" t="n">
        <v>3</v>
      </c>
      <c r="D95" s="7" t="s">
        <v>19</v>
      </c>
      <c r="E95" s="7" t="s">
        <v>20</v>
      </c>
      <c r="F95" s="7" t="s">
        <v>226</v>
      </c>
    </row>
    <row r="96" customFormat="false" ht="23.85" hidden="false" customHeight="false" outlineLevel="0" collapsed="false">
      <c r="A96" s="6" t="s">
        <v>104</v>
      </c>
      <c r="B96" s="7" t="s">
        <v>105</v>
      </c>
      <c r="C96" s="6" t="n">
        <v>4</v>
      </c>
      <c r="D96" s="7" t="s">
        <v>21</v>
      </c>
      <c r="E96" s="7" t="s">
        <v>22</v>
      </c>
      <c r="F96" s="7" t="s">
        <v>227</v>
      </c>
    </row>
    <row r="97" customFormat="false" ht="23.85" hidden="false" customHeight="false" outlineLevel="0" collapsed="false">
      <c r="A97" s="6" t="s">
        <v>104</v>
      </c>
      <c r="B97" s="7" t="s">
        <v>105</v>
      </c>
      <c r="C97" s="6" t="n">
        <v>5</v>
      </c>
      <c r="D97" s="7" t="s">
        <v>21</v>
      </c>
      <c r="E97" s="7" t="s">
        <v>23</v>
      </c>
      <c r="F97" s="7" t="s">
        <v>228</v>
      </c>
    </row>
    <row r="98" customFormat="false" ht="23.85" hidden="false" customHeight="false" outlineLevel="0" collapsed="false">
      <c r="A98" s="6" t="s">
        <v>104</v>
      </c>
      <c r="B98" s="7" t="s">
        <v>105</v>
      </c>
      <c r="C98" s="6" t="n">
        <v>6</v>
      </c>
      <c r="D98" s="7" t="s">
        <v>24</v>
      </c>
      <c r="E98" s="7" t="s">
        <v>25</v>
      </c>
      <c r="F98" s="7" t="s">
        <v>229</v>
      </c>
    </row>
    <row r="99" customFormat="false" ht="23.85" hidden="false" customHeight="false" outlineLevel="0" collapsed="false">
      <c r="A99" s="6" t="s">
        <v>104</v>
      </c>
      <c r="B99" s="7" t="s">
        <v>105</v>
      </c>
      <c r="C99" s="6" t="n">
        <v>7</v>
      </c>
      <c r="D99" s="7" t="s">
        <v>26</v>
      </c>
      <c r="E99" s="7" t="s">
        <v>27</v>
      </c>
      <c r="F99" s="7" t="s">
        <v>230</v>
      </c>
    </row>
    <row r="100" customFormat="false" ht="15" hidden="false" customHeight="false" outlineLevel="0" collapsed="false">
      <c r="A100" s="6" t="s">
        <v>104</v>
      </c>
      <c r="B100" s="7" t="s">
        <v>105</v>
      </c>
      <c r="C100" s="6" t="n">
        <v>8</v>
      </c>
      <c r="D100" s="7" t="s">
        <v>28</v>
      </c>
      <c r="E100" s="7" t="s">
        <v>29</v>
      </c>
      <c r="F100" s="7" t="s">
        <v>231</v>
      </c>
    </row>
    <row r="101" customFormat="false" ht="23.85" hidden="false" customHeight="false" outlineLevel="0" collapsed="false">
      <c r="A101" s="6" t="s">
        <v>104</v>
      </c>
      <c r="B101" s="7" t="s">
        <v>105</v>
      </c>
      <c r="C101" s="6" t="n">
        <v>9</v>
      </c>
      <c r="D101" s="7" t="s">
        <v>28</v>
      </c>
      <c r="E101" s="7" t="s">
        <v>30</v>
      </c>
      <c r="F101" s="7" t="s">
        <v>232</v>
      </c>
    </row>
    <row r="102" customFormat="false" ht="23.85" hidden="false" customHeight="false" outlineLevel="0" collapsed="false">
      <c r="A102" s="6" t="s">
        <v>104</v>
      </c>
      <c r="B102" s="7" t="s">
        <v>105</v>
      </c>
      <c r="C102" s="6" t="n">
        <v>10</v>
      </c>
      <c r="D102" s="7" t="s">
        <v>28</v>
      </c>
      <c r="E102" s="7" t="s">
        <v>31</v>
      </c>
      <c r="F102" s="7" t="s">
        <v>233</v>
      </c>
    </row>
    <row r="103" customFormat="false" ht="23.85" hidden="false" customHeight="false" outlineLevel="0" collapsed="false">
      <c r="A103" s="6" t="s">
        <v>104</v>
      </c>
      <c r="B103" s="7" t="s">
        <v>105</v>
      </c>
      <c r="C103" s="6" t="n">
        <v>11</v>
      </c>
      <c r="D103" s="7" t="s">
        <v>32</v>
      </c>
      <c r="E103" s="7" t="s">
        <v>33</v>
      </c>
      <c r="F103" s="7" t="s">
        <v>234</v>
      </c>
    </row>
    <row r="104" customFormat="false" ht="23.85" hidden="false" customHeight="false" outlineLevel="0" collapsed="false">
      <c r="A104" s="8" t="s">
        <v>110</v>
      </c>
      <c r="B104" s="9" t="s">
        <v>111</v>
      </c>
      <c r="C104" s="8" t="n">
        <v>1</v>
      </c>
      <c r="D104" s="9" t="s">
        <v>15</v>
      </c>
      <c r="E104" s="9" t="s">
        <v>16</v>
      </c>
      <c r="F104" s="9" t="s">
        <v>235</v>
      </c>
    </row>
    <row r="105" customFormat="false" ht="23.85" hidden="false" customHeight="false" outlineLevel="0" collapsed="false">
      <c r="A105" s="8" t="s">
        <v>110</v>
      </c>
      <c r="B105" s="9" t="s">
        <v>111</v>
      </c>
      <c r="C105" s="8" t="n">
        <v>2</v>
      </c>
      <c r="D105" s="9" t="s">
        <v>17</v>
      </c>
      <c r="E105" s="9" t="s">
        <v>18</v>
      </c>
      <c r="F105" s="9" t="s">
        <v>236</v>
      </c>
    </row>
    <row r="106" customFormat="false" ht="23.85" hidden="false" customHeight="false" outlineLevel="0" collapsed="false">
      <c r="A106" s="8" t="s">
        <v>110</v>
      </c>
      <c r="B106" s="9" t="s">
        <v>111</v>
      </c>
      <c r="C106" s="8" t="n">
        <v>3</v>
      </c>
      <c r="D106" s="9" t="s">
        <v>19</v>
      </c>
      <c r="E106" s="9" t="s">
        <v>20</v>
      </c>
      <c r="F106" s="9" t="s">
        <v>237</v>
      </c>
    </row>
    <row r="107" customFormat="false" ht="23.85" hidden="false" customHeight="false" outlineLevel="0" collapsed="false">
      <c r="A107" s="8" t="s">
        <v>110</v>
      </c>
      <c r="B107" s="9" t="s">
        <v>111</v>
      </c>
      <c r="C107" s="8" t="n">
        <v>4</v>
      </c>
      <c r="D107" s="9" t="s">
        <v>21</v>
      </c>
      <c r="E107" s="9" t="s">
        <v>22</v>
      </c>
      <c r="F107" s="9" t="s">
        <v>238</v>
      </c>
    </row>
    <row r="108" customFormat="false" ht="23.85" hidden="false" customHeight="false" outlineLevel="0" collapsed="false">
      <c r="A108" s="8" t="s">
        <v>110</v>
      </c>
      <c r="B108" s="9" t="s">
        <v>111</v>
      </c>
      <c r="C108" s="8" t="n">
        <v>5</v>
      </c>
      <c r="D108" s="9" t="s">
        <v>21</v>
      </c>
      <c r="E108" s="9" t="s">
        <v>23</v>
      </c>
      <c r="F108" s="9" t="s">
        <v>239</v>
      </c>
    </row>
    <row r="109" customFormat="false" ht="23.85" hidden="false" customHeight="false" outlineLevel="0" collapsed="false">
      <c r="A109" s="8" t="s">
        <v>110</v>
      </c>
      <c r="B109" s="9" t="s">
        <v>111</v>
      </c>
      <c r="C109" s="8" t="n">
        <v>6</v>
      </c>
      <c r="D109" s="9" t="s">
        <v>24</v>
      </c>
      <c r="E109" s="9" t="s">
        <v>25</v>
      </c>
      <c r="F109" s="9" t="s">
        <v>240</v>
      </c>
    </row>
    <row r="110" customFormat="false" ht="23.85" hidden="false" customHeight="false" outlineLevel="0" collapsed="false">
      <c r="A110" s="8" t="s">
        <v>110</v>
      </c>
      <c r="B110" s="9" t="s">
        <v>111</v>
      </c>
      <c r="C110" s="8" t="n">
        <v>7</v>
      </c>
      <c r="D110" s="9" t="s">
        <v>26</v>
      </c>
      <c r="E110" s="9" t="s">
        <v>27</v>
      </c>
      <c r="F110" s="9" t="s">
        <v>241</v>
      </c>
    </row>
    <row r="111" customFormat="false" ht="15" hidden="false" customHeight="false" outlineLevel="0" collapsed="false">
      <c r="A111" s="8" t="s">
        <v>110</v>
      </c>
      <c r="B111" s="9" t="s">
        <v>111</v>
      </c>
      <c r="C111" s="8" t="n">
        <v>8</v>
      </c>
      <c r="D111" s="9" t="s">
        <v>28</v>
      </c>
      <c r="E111" s="9" t="s">
        <v>29</v>
      </c>
      <c r="F111" s="9" t="s">
        <v>242</v>
      </c>
    </row>
    <row r="112" customFormat="false" ht="23.85" hidden="false" customHeight="false" outlineLevel="0" collapsed="false">
      <c r="A112" s="8" t="s">
        <v>110</v>
      </c>
      <c r="B112" s="9" t="s">
        <v>111</v>
      </c>
      <c r="C112" s="8" t="n">
        <v>9</v>
      </c>
      <c r="D112" s="9" t="s">
        <v>28</v>
      </c>
      <c r="E112" s="9" t="s">
        <v>30</v>
      </c>
      <c r="F112" s="9" t="s">
        <v>243</v>
      </c>
    </row>
    <row r="113" customFormat="false" ht="23.85" hidden="false" customHeight="false" outlineLevel="0" collapsed="false">
      <c r="A113" s="8" t="s">
        <v>110</v>
      </c>
      <c r="B113" s="9" t="s">
        <v>111</v>
      </c>
      <c r="C113" s="8" t="n">
        <v>10</v>
      </c>
      <c r="D113" s="9" t="s">
        <v>28</v>
      </c>
      <c r="E113" s="9" t="s">
        <v>31</v>
      </c>
      <c r="F113" s="9" t="s">
        <v>244</v>
      </c>
    </row>
    <row r="114" customFormat="false" ht="23.85" hidden="false" customHeight="false" outlineLevel="0" collapsed="false">
      <c r="A114" s="8" t="s">
        <v>110</v>
      </c>
      <c r="B114" s="9" t="s">
        <v>111</v>
      </c>
      <c r="C114" s="8" t="n">
        <v>11</v>
      </c>
      <c r="D114" s="9" t="s">
        <v>32</v>
      </c>
      <c r="E114" s="9" t="s">
        <v>33</v>
      </c>
      <c r="F114" s="9" t="s">
        <v>245</v>
      </c>
    </row>
    <row r="115" customFormat="false" ht="23.85" hidden="false" customHeight="false" outlineLevel="0" collapsed="false">
      <c r="A115" s="6" t="s">
        <v>116</v>
      </c>
      <c r="B115" s="7" t="s">
        <v>117</v>
      </c>
      <c r="C115" s="6" t="n">
        <v>1</v>
      </c>
      <c r="D115" s="7" t="s">
        <v>15</v>
      </c>
      <c r="E115" s="7" t="s">
        <v>16</v>
      </c>
      <c r="F115" s="7" t="s">
        <v>246</v>
      </c>
    </row>
    <row r="116" customFormat="false" ht="23.85" hidden="false" customHeight="false" outlineLevel="0" collapsed="false">
      <c r="A116" s="6" t="s">
        <v>116</v>
      </c>
      <c r="B116" s="7" t="s">
        <v>117</v>
      </c>
      <c r="C116" s="6" t="n">
        <v>2</v>
      </c>
      <c r="D116" s="7" t="s">
        <v>17</v>
      </c>
      <c r="E116" s="7" t="s">
        <v>18</v>
      </c>
      <c r="F116" s="7" t="s">
        <v>247</v>
      </c>
    </row>
    <row r="117" customFormat="false" ht="23.85" hidden="false" customHeight="false" outlineLevel="0" collapsed="false">
      <c r="A117" s="6" t="s">
        <v>116</v>
      </c>
      <c r="B117" s="7" t="s">
        <v>117</v>
      </c>
      <c r="C117" s="6" t="n">
        <v>3</v>
      </c>
      <c r="D117" s="7" t="s">
        <v>19</v>
      </c>
      <c r="E117" s="7" t="s">
        <v>20</v>
      </c>
      <c r="F117" s="7" t="s">
        <v>248</v>
      </c>
    </row>
    <row r="118" customFormat="false" ht="23.85" hidden="false" customHeight="false" outlineLevel="0" collapsed="false">
      <c r="A118" s="6" t="s">
        <v>116</v>
      </c>
      <c r="B118" s="7" t="s">
        <v>117</v>
      </c>
      <c r="C118" s="6" t="n">
        <v>4</v>
      </c>
      <c r="D118" s="7" t="s">
        <v>21</v>
      </c>
      <c r="E118" s="7" t="s">
        <v>22</v>
      </c>
      <c r="F118" s="7" t="s">
        <v>249</v>
      </c>
    </row>
    <row r="119" customFormat="false" ht="23.85" hidden="false" customHeight="false" outlineLevel="0" collapsed="false">
      <c r="A119" s="6" t="s">
        <v>116</v>
      </c>
      <c r="B119" s="7" t="s">
        <v>117</v>
      </c>
      <c r="C119" s="6" t="n">
        <v>5</v>
      </c>
      <c r="D119" s="7" t="s">
        <v>21</v>
      </c>
      <c r="E119" s="7" t="s">
        <v>23</v>
      </c>
      <c r="F119" s="7" t="s">
        <v>250</v>
      </c>
    </row>
    <row r="120" customFormat="false" ht="23.85" hidden="false" customHeight="false" outlineLevel="0" collapsed="false">
      <c r="A120" s="6" t="s">
        <v>116</v>
      </c>
      <c r="B120" s="7" t="s">
        <v>117</v>
      </c>
      <c r="C120" s="6" t="n">
        <v>6</v>
      </c>
      <c r="D120" s="7" t="s">
        <v>24</v>
      </c>
      <c r="E120" s="7" t="s">
        <v>25</v>
      </c>
      <c r="F120" s="7" t="s">
        <v>251</v>
      </c>
    </row>
    <row r="121" customFormat="false" ht="23.85" hidden="false" customHeight="false" outlineLevel="0" collapsed="false">
      <c r="A121" s="6" t="s">
        <v>116</v>
      </c>
      <c r="B121" s="7" t="s">
        <v>117</v>
      </c>
      <c r="C121" s="6" t="n">
        <v>7</v>
      </c>
      <c r="D121" s="7" t="s">
        <v>26</v>
      </c>
      <c r="E121" s="7" t="s">
        <v>27</v>
      </c>
      <c r="F121" s="7" t="s">
        <v>252</v>
      </c>
    </row>
    <row r="122" customFormat="false" ht="23.85" hidden="false" customHeight="false" outlineLevel="0" collapsed="false">
      <c r="A122" s="6" t="s">
        <v>116</v>
      </c>
      <c r="B122" s="7" t="s">
        <v>117</v>
      </c>
      <c r="C122" s="6" t="n">
        <v>8</v>
      </c>
      <c r="D122" s="7" t="s">
        <v>28</v>
      </c>
      <c r="E122" s="7" t="s">
        <v>29</v>
      </c>
      <c r="F122" s="7" t="s">
        <v>253</v>
      </c>
    </row>
    <row r="123" customFormat="false" ht="23.85" hidden="false" customHeight="false" outlineLevel="0" collapsed="false">
      <c r="A123" s="6" t="s">
        <v>116</v>
      </c>
      <c r="B123" s="7" t="s">
        <v>117</v>
      </c>
      <c r="C123" s="6" t="n">
        <v>9</v>
      </c>
      <c r="D123" s="7" t="s">
        <v>28</v>
      </c>
      <c r="E123" s="7" t="s">
        <v>30</v>
      </c>
      <c r="F123" s="7" t="s">
        <v>254</v>
      </c>
    </row>
    <row r="124" customFormat="false" ht="23.85" hidden="false" customHeight="false" outlineLevel="0" collapsed="false">
      <c r="A124" s="6" t="s">
        <v>116</v>
      </c>
      <c r="B124" s="7" t="s">
        <v>117</v>
      </c>
      <c r="C124" s="6" t="n">
        <v>10</v>
      </c>
      <c r="D124" s="7" t="s">
        <v>28</v>
      </c>
      <c r="E124" s="7" t="s">
        <v>31</v>
      </c>
      <c r="F124" s="7" t="s">
        <v>255</v>
      </c>
    </row>
    <row r="125" customFormat="false" ht="23.85" hidden="false" customHeight="false" outlineLevel="0" collapsed="false">
      <c r="A125" s="6" t="s">
        <v>116</v>
      </c>
      <c r="B125" s="7" t="s">
        <v>117</v>
      </c>
      <c r="C125" s="6" t="n">
        <v>11</v>
      </c>
      <c r="D125" s="7" t="s">
        <v>32</v>
      </c>
      <c r="E125" s="7" t="s">
        <v>33</v>
      </c>
      <c r="F125" s="7" t="s">
        <v>256</v>
      </c>
    </row>
    <row r="126" customFormat="false" ht="23.85" hidden="false" customHeight="false" outlineLevel="0" collapsed="false">
      <c r="A126" s="8" t="s">
        <v>121</v>
      </c>
      <c r="B126" s="9" t="s">
        <v>122</v>
      </c>
      <c r="C126" s="8" t="n">
        <v>1</v>
      </c>
      <c r="D126" s="9" t="s">
        <v>15</v>
      </c>
      <c r="E126" s="9" t="s">
        <v>16</v>
      </c>
      <c r="F126" s="9" t="s">
        <v>257</v>
      </c>
    </row>
    <row r="127" customFormat="false" ht="23.85" hidden="false" customHeight="false" outlineLevel="0" collapsed="false">
      <c r="A127" s="8" t="s">
        <v>121</v>
      </c>
      <c r="B127" s="9" t="s">
        <v>122</v>
      </c>
      <c r="C127" s="8" t="n">
        <v>2</v>
      </c>
      <c r="D127" s="9" t="s">
        <v>17</v>
      </c>
      <c r="E127" s="9" t="s">
        <v>18</v>
      </c>
      <c r="F127" s="9" t="s">
        <v>258</v>
      </c>
    </row>
    <row r="128" customFormat="false" ht="23.85" hidden="false" customHeight="false" outlineLevel="0" collapsed="false">
      <c r="A128" s="8" t="s">
        <v>121</v>
      </c>
      <c r="B128" s="9" t="s">
        <v>122</v>
      </c>
      <c r="C128" s="8" t="n">
        <v>3</v>
      </c>
      <c r="D128" s="9" t="s">
        <v>19</v>
      </c>
      <c r="E128" s="9" t="s">
        <v>20</v>
      </c>
      <c r="F128" s="9" t="s">
        <v>259</v>
      </c>
    </row>
    <row r="129" customFormat="false" ht="23.85" hidden="false" customHeight="false" outlineLevel="0" collapsed="false">
      <c r="A129" s="8" t="s">
        <v>121</v>
      </c>
      <c r="B129" s="9" t="s">
        <v>122</v>
      </c>
      <c r="C129" s="8" t="n">
        <v>4</v>
      </c>
      <c r="D129" s="9" t="s">
        <v>21</v>
      </c>
      <c r="E129" s="9" t="s">
        <v>22</v>
      </c>
      <c r="F129" s="9" t="s">
        <v>260</v>
      </c>
    </row>
    <row r="130" customFormat="false" ht="23.85" hidden="false" customHeight="false" outlineLevel="0" collapsed="false">
      <c r="A130" s="8" t="s">
        <v>121</v>
      </c>
      <c r="B130" s="9" t="s">
        <v>122</v>
      </c>
      <c r="C130" s="8" t="n">
        <v>5</v>
      </c>
      <c r="D130" s="9" t="s">
        <v>21</v>
      </c>
      <c r="E130" s="9" t="s">
        <v>23</v>
      </c>
      <c r="F130" s="9" t="s">
        <v>261</v>
      </c>
    </row>
    <row r="131" customFormat="false" ht="23.85" hidden="false" customHeight="false" outlineLevel="0" collapsed="false">
      <c r="A131" s="8" t="s">
        <v>121</v>
      </c>
      <c r="B131" s="9" t="s">
        <v>122</v>
      </c>
      <c r="C131" s="8" t="n">
        <v>6</v>
      </c>
      <c r="D131" s="9" t="s">
        <v>24</v>
      </c>
      <c r="E131" s="9" t="s">
        <v>25</v>
      </c>
      <c r="F131" s="9" t="s">
        <v>262</v>
      </c>
    </row>
    <row r="132" customFormat="false" ht="23.85" hidden="false" customHeight="false" outlineLevel="0" collapsed="false">
      <c r="A132" s="8" t="s">
        <v>121</v>
      </c>
      <c r="B132" s="9" t="s">
        <v>122</v>
      </c>
      <c r="C132" s="8" t="n">
        <v>7</v>
      </c>
      <c r="D132" s="9" t="s">
        <v>26</v>
      </c>
      <c r="E132" s="9" t="s">
        <v>27</v>
      </c>
      <c r="F132" s="9" t="s">
        <v>263</v>
      </c>
    </row>
    <row r="133" customFormat="false" ht="15" hidden="false" customHeight="false" outlineLevel="0" collapsed="false">
      <c r="A133" s="8" t="s">
        <v>121</v>
      </c>
      <c r="B133" s="9" t="s">
        <v>122</v>
      </c>
      <c r="C133" s="8" t="n">
        <v>8</v>
      </c>
      <c r="D133" s="9" t="s">
        <v>28</v>
      </c>
      <c r="E133" s="9" t="s">
        <v>29</v>
      </c>
      <c r="F133" s="9" t="s">
        <v>264</v>
      </c>
    </row>
    <row r="134" customFormat="false" ht="23.85" hidden="false" customHeight="false" outlineLevel="0" collapsed="false">
      <c r="A134" s="8" t="s">
        <v>121</v>
      </c>
      <c r="B134" s="9" t="s">
        <v>122</v>
      </c>
      <c r="C134" s="8" t="n">
        <v>9</v>
      </c>
      <c r="D134" s="9" t="s">
        <v>28</v>
      </c>
      <c r="E134" s="9" t="s">
        <v>30</v>
      </c>
      <c r="F134" s="9" t="s">
        <v>265</v>
      </c>
    </row>
    <row r="135" customFormat="false" ht="23.85" hidden="false" customHeight="false" outlineLevel="0" collapsed="false">
      <c r="A135" s="8" t="s">
        <v>121</v>
      </c>
      <c r="B135" s="9" t="s">
        <v>122</v>
      </c>
      <c r="C135" s="8" t="n">
        <v>10</v>
      </c>
      <c r="D135" s="9" t="s">
        <v>28</v>
      </c>
      <c r="E135" s="9" t="s">
        <v>31</v>
      </c>
      <c r="F135" s="9" t="s">
        <v>266</v>
      </c>
    </row>
    <row r="136" customFormat="false" ht="23.85" hidden="false" customHeight="false" outlineLevel="0" collapsed="false">
      <c r="A136" s="8" t="s">
        <v>121</v>
      </c>
      <c r="B136" s="9" t="s">
        <v>122</v>
      </c>
      <c r="C136" s="8" t="n">
        <v>11</v>
      </c>
      <c r="D136" s="9" t="s">
        <v>32</v>
      </c>
      <c r="E136" s="9" t="s">
        <v>33</v>
      </c>
      <c r="F136" s="9" t="s">
        <v>267</v>
      </c>
    </row>
  </sheetData>
  <autoFilter ref="A4:F1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16" min="7" style="0" width="15"/>
  </cols>
  <sheetData>
    <row r="1" customFormat="false" ht="17.35" hidden="false" customHeight="false" outlineLevel="0" collapsed="false">
      <c r="A1" s="1" t="s">
        <v>268</v>
      </c>
    </row>
    <row r="2" customFormat="false" ht="15" hidden="false" customHeight="false" outlineLevel="0" collapsed="false">
      <c r="A2" s="2" t="s">
        <v>269</v>
      </c>
    </row>
    <row r="4" customFormat="false" ht="109.5" hidden="false" customHeight="true" outlineLevel="0" collapsed="false">
      <c r="A4" s="5" t="s">
        <v>36</v>
      </c>
      <c r="B4" s="5" t="s">
        <v>133</v>
      </c>
      <c r="C4" s="5" t="s">
        <v>43</v>
      </c>
      <c r="D4" s="5" t="s">
        <v>270</v>
      </c>
      <c r="E4" s="5" t="s">
        <v>271</v>
      </c>
      <c r="F4" s="5" t="s">
        <v>272</v>
      </c>
      <c r="G4" s="5" t="s">
        <v>273</v>
      </c>
      <c r="H4" s="5" t="s">
        <v>274</v>
      </c>
      <c r="I4" s="5" t="s">
        <v>275</v>
      </c>
      <c r="J4" s="5" t="s">
        <v>276</v>
      </c>
      <c r="K4" s="5" t="s">
        <v>277</v>
      </c>
      <c r="L4" s="5" t="s">
        <v>278</v>
      </c>
      <c r="M4" s="5" t="s">
        <v>279</v>
      </c>
      <c r="N4" s="5" t="s">
        <v>280</v>
      </c>
      <c r="O4" s="5" t="s">
        <v>281</v>
      </c>
      <c r="P4" s="5" t="s">
        <v>282</v>
      </c>
    </row>
    <row r="5" customFormat="false" ht="15" hidden="false" customHeight="false" outlineLevel="0" collapsed="false">
      <c r="A5" s="6" t="s">
        <v>48</v>
      </c>
      <c r="B5" s="6" t="s">
        <v>49</v>
      </c>
      <c r="C5" s="6" t="s">
        <v>53</v>
      </c>
      <c r="D5" s="6" t="n">
        <v>0</v>
      </c>
      <c r="E5" s="6" t="n">
        <v>1</v>
      </c>
      <c r="F5" s="6" t="n">
        <v>1</v>
      </c>
      <c r="G5" s="6" t="n">
        <v>0</v>
      </c>
      <c r="H5" s="6" t="n">
        <v>0</v>
      </c>
      <c r="I5" s="6" t="n">
        <v>1</v>
      </c>
      <c r="J5" s="6" t="n">
        <v>1</v>
      </c>
      <c r="K5" s="6" t="n">
        <v>1</v>
      </c>
      <c r="L5" s="6" t="n">
        <v>0</v>
      </c>
      <c r="M5" s="6" t="n">
        <v>0</v>
      </c>
      <c r="N5" s="6" t="n">
        <v>1</v>
      </c>
      <c r="O5" s="6" t="n">
        <v>0</v>
      </c>
      <c r="P5" s="6" t="n">
        <v>0</v>
      </c>
    </row>
    <row r="6" customFormat="false" ht="15" hidden="false" customHeight="false" outlineLevel="0" collapsed="false">
      <c r="A6" s="8" t="s">
        <v>57</v>
      </c>
      <c r="B6" s="8" t="s">
        <v>58</v>
      </c>
      <c r="C6" s="8" t="s">
        <v>53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0</v>
      </c>
      <c r="I6" s="8" t="n">
        <v>1</v>
      </c>
      <c r="J6" s="8" t="n">
        <v>1</v>
      </c>
      <c r="K6" s="8" t="n">
        <v>1</v>
      </c>
      <c r="L6" s="8" t="n">
        <v>0</v>
      </c>
      <c r="M6" s="8" t="n">
        <v>1</v>
      </c>
      <c r="N6" s="8" t="n">
        <v>1</v>
      </c>
      <c r="O6" s="8" t="n">
        <v>0</v>
      </c>
      <c r="P6" s="8" t="n">
        <v>1</v>
      </c>
    </row>
    <row r="7" customFormat="false" ht="15" hidden="false" customHeight="false" outlineLevel="0" collapsed="false">
      <c r="A7" s="6" t="s">
        <v>63</v>
      </c>
      <c r="B7" s="6" t="s">
        <v>64</v>
      </c>
      <c r="C7" s="6" t="s">
        <v>68</v>
      </c>
      <c r="D7" s="6" t="n">
        <v>1</v>
      </c>
      <c r="E7" s="6" t="n">
        <v>0</v>
      </c>
      <c r="F7" s="6" t="n">
        <v>0</v>
      </c>
      <c r="G7" s="6" t="n">
        <v>1</v>
      </c>
      <c r="H7" s="6" t="n">
        <v>1</v>
      </c>
      <c r="I7" s="6" t="n">
        <v>0</v>
      </c>
      <c r="J7" s="6" t="n">
        <v>0</v>
      </c>
      <c r="K7" s="6" t="n">
        <v>0</v>
      </c>
      <c r="L7" s="6" t="n">
        <v>1</v>
      </c>
      <c r="M7" s="6" t="n">
        <v>0</v>
      </c>
      <c r="N7" s="6" t="n">
        <v>0</v>
      </c>
      <c r="O7" s="6" t="n">
        <v>1</v>
      </c>
      <c r="P7" s="6" t="n">
        <v>1</v>
      </c>
    </row>
    <row r="8" customFormat="false" ht="15" hidden="false" customHeight="false" outlineLevel="0" collapsed="false">
      <c r="A8" s="8" t="s">
        <v>72</v>
      </c>
      <c r="B8" s="8" t="s">
        <v>73</v>
      </c>
      <c r="C8" s="8" t="s">
        <v>53</v>
      </c>
      <c r="D8" s="8" t="n">
        <v>1</v>
      </c>
      <c r="E8" s="8" t="n">
        <v>0</v>
      </c>
      <c r="F8" s="8" t="n">
        <v>1</v>
      </c>
      <c r="G8" s="8" t="n">
        <v>1</v>
      </c>
      <c r="H8" s="8" t="n">
        <v>1</v>
      </c>
      <c r="I8" s="8" t="n">
        <v>0</v>
      </c>
      <c r="J8" s="8" t="n">
        <v>1</v>
      </c>
      <c r="K8" s="8" t="n">
        <v>1</v>
      </c>
      <c r="L8" s="8" t="n">
        <v>0</v>
      </c>
      <c r="M8" s="8" t="n">
        <v>1</v>
      </c>
      <c r="N8" s="8" t="n">
        <v>0</v>
      </c>
      <c r="O8" s="8" t="n">
        <v>0</v>
      </c>
      <c r="P8" s="8" t="n">
        <v>1</v>
      </c>
    </row>
    <row r="9" customFormat="false" ht="15" hidden="false" customHeight="false" outlineLevel="0" collapsed="false">
      <c r="A9" s="6" t="s">
        <v>78</v>
      </c>
      <c r="B9" s="6" t="s">
        <v>79</v>
      </c>
      <c r="C9" s="6" t="s">
        <v>83</v>
      </c>
      <c r="D9" s="6" t="n">
        <v>1</v>
      </c>
      <c r="E9" s="6" t="n">
        <v>0</v>
      </c>
      <c r="F9" s="6" t="n">
        <v>1</v>
      </c>
      <c r="G9" s="6" t="n">
        <v>1</v>
      </c>
      <c r="H9" s="6" t="n">
        <v>1</v>
      </c>
      <c r="I9" s="6" t="n">
        <v>1</v>
      </c>
      <c r="J9" s="6" t="n">
        <v>0</v>
      </c>
      <c r="K9" s="6" t="n">
        <v>0</v>
      </c>
      <c r="L9" s="6" t="n">
        <v>1</v>
      </c>
      <c r="M9" s="6" t="n">
        <v>1</v>
      </c>
      <c r="N9" s="6" t="n">
        <v>0</v>
      </c>
      <c r="O9" s="6" t="n">
        <v>1</v>
      </c>
      <c r="P9" s="6" t="n">
        <v>0</v>
      </c>
    </row>
    <row r="10" customFormat="false" ht="15" hidden="false" customHeight="false" outlineLevel="0" collapsed="false">
      <c r="A10" s="8" t="s">
        <v>86</v>
      </c>
      <c r="B10" s="8" t="s">
        <v>87</v>
      </c>
      <c r="C10" s="8" t="s">
        <v>83</v>
      </c>
      <c r="D10" s="8" t="n">
        <v>0</v>
      </c>
      <c r="E10" s="8" t="n">
        <v>1</v>
      </c>
      <c r="F10" s="8" t="n">
        <v>1</v>
      </c>
      <c r="G10" s="8" t="n">
        <v>0</v>
      </c>
      <c r="H10" s="8" t="n">
        <v>0</v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0</v>
      </c>
      <c r="N10" s="8" t="n">
        <v>1</v>
      </c>
      <c r="O10" s="8" t="n">
        <v>1</v>
      </c>
      <c r="P10" s="8" t="n">
        <v>0</v>
      </c>
    </row>
    <row r="11" customFormat="false" ht="15" hidden="false" customHeight="false" outlineLevel="0" collapsed="false">
      <c r="A11" s="6" t="s">
        <v>91</v>
      </c>
      <c r="B11" s="6" t="s">
        <v>92</v>
      </c>
      <c r="C11" s="6" t="s">
        <v>83</v>
      </c>
      <c r="D11" s="6" t="n">
        <v>1</v>
      </c>
      <c r="E11" s="6" t="n">
        <v>1</v>
      </c>
      <c r="F11" s="6" t="n">
        <v>0</v>
      </c>
      <c r="G11" s="6" t="n">
        <v>1</v>
      </c>
      <c r="H11" s="6" t="n">
        <v>1</v>
      </c>
      <c r="I11" s="6" t="n">
        <v>0</v>
      </c>
      <c r="J11" s="6" t="n">
        <v>1</v>
      </c>
      <c r="K11" s="6" t="n">
        <v>0</v>
      </c>
      <c r="L11" s="6" t="n">
        <v>1</v>
      </c>
      <c r="M11" s="6" t="n">
        <v>0</v>
      </c>
      <c r="N11" s="6" t="n">
        <v>0</v>
      </c>
      <c r="O11" s="6" t="n">
        <v>1</v>
      </c>
      <c r="P11" s="6" t="n">
        <v>0</v>
      </c>
    </row>
    <row r="12" customFormat="false" ht="15" hidden="false" customHeight="false" outlineLevel="0" collapsed="false">
      <c r="A12" s="8" t="s">
        <v>98</v>
      </c>
      <c r="B12" s="8" t="s">
        <v>99</v>
      </c>
      <c r="C12" s="8" t="s">
        <v>53</v>
      </c>
      <c r="D12" s="8" t="n">
        <v>1</v>
      </c>
      <c r="E12" s="8" t="n">
        <v>1</v>
      </c>
      <c r="F12" s="8" t="n">
        <v>1</v>
      </c>
      <c r="G12" s="8" t="n">
        <v>1</v>
      </c>
      <c r="H12" s="8" t="n">
        <v>0</v>
      </c>
      <c r="I12" s="8" t="n">
        <v>1</v>
      </c>
      <c r="J12" s="8" t="n">
        <v>0</v>
      </c>
      <c r="K12" s="8" t="n">
        <v>1</v>
      </c>
      <c r="L12" s="8" t="n">
        <v>0</v>
      </c>
      <c r="M12" s="8" t="n">
        <v>1</v>
      </c>
      <c r="N12" s="8" t="n">
        <v>1</v>
      </c>
      <c r="O12" s="8" t="n">
        <v>0</v>
      </c>
      <c r="P12" s="8" t="n">
        <v>1</v>
      </c>
    </row>
    <row r="13" customFormat="false" ht="15" hidden="false" customHeight="false" outlineLevel="0" collapsed="false">
      <c r="A13" s="6" t="s">
        <v>104</v>
      </c>
      <c r="B13" s="6" t="s">
        <v>105</v>
      </c>
      <c r="C13" s="6" t="s">
        <v>53</v>
      </c>
      <c r="D13" s="6" t="n">
        <v>0</v>
      </c>
      <c r="E13" s="6" t="n">
        <v>1</v>
      </c>
      <c r="F13" s="6" t="n">
        <v>1</v>
      </c>
      <c r="G13" s="6" t="n">
        <v>0</v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  <c r="M13" s="6" t="n">
        <v>0</v>
      </c>
      <c r="N13" s="6" t="n">
        <v>1</v>
      </c>
      <c r="O13" s="6" t="n">
        <v>0</v>
      </c>
      <c r="P13" s="6" t="n">
        <v>1</v>
      </c>
    </row>
    <row r="14" customFormat="false" ht="15" hidden="false" customHeight="false" outlineLevel="0" collapsed="false">
      <c r="A14" s="8" t="s">
        <v>110</v>
      </c>
      <c r="B14" s="8" t="s">
        <v>111</v>
      </c>
      <c r="C14" s="8" t="s">
        <v>83</v>
      </c>
      <c r="D14" s="8" t="n">
        <v>0</v>
      </c>
      <c r="E14" s="8" t="n">
        <v>0</v>
      </c>
      <c r="F14" s="8" t="n">
        <v>1</v>
      </c>
      <c r="G14" s="8" t="n">
        <v>0</v>
      </c>
      <c r="H14" s="8" t="n">
        <v>0</v>
      </c>
      <c r="I14" s="8" t="n">
        <v>1</v>
      </c>
      <c r="J14" s="8" t="n">
        <v>1</v>
      </c>
      <c r="K14" s="8" t="n">
        <v>1</v>
      </c>
      <c r="L14" s="8" t="n">
        <v>0</v>
      </c>
      <c r="M14" s="8" t="n">
        <v>0</v>
      </c>
      <c r="N14" s="8" t="n">
        <v>1</v>
      </c>
      <c r="O14" s="8" t="n">
        <v>1</v>
      </c>
      <c r="P14" s="8" t="n">
        <v>0</v>
      </c>
    </row>
    <row r="15" customFormat="false" ht="15" hidden="false" customHeight="false" outlineLevel="0" collapsed="false">
      <c r="A15" s="6" t="s">
        <v>116</v>
      </c>
      <c r="B15" s="6" t="s">
        <v>117</v>
      </c>
      <c r="C15" s="6" t="s">
        <v>53</v>
      </c>
      <c r="D15" s="6" t="n">
        <v>1</v>
      </c>
      <c r="E15" s="6" t="n">
        <v>1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0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0</v>
      </c>
      <c r="P15" s="6" t="n">
        <v>1</v>
      </c>
    </row>
    <row r="16" customFormat="false" ht="15" hidden="false" customHeight="false" outlineLevel="0" collapsed="false">
      <c r="A16" s="8" t="s">
        <v>121</v>
      </c>
      <c r="B16" s="8" t="s">
        <v>122</v>
      </c>
      <c r="C16" s="8" t="s">
        <v>68</v>
      </c>
      <c r="D16" s="8" t="n">
        <v>1</v>
      </c>
      <c r="E16" s="8" t="n">
        <v>0</v>
      </c>
      <c r="F16" s="8" t="n">
        <v>0</v>
      </c>
      <c r="G16" s="8" t="n">
        <v>1</v>
      </c>
      <c r="H16" s="8" t="n">
        <v>0</v>
      </c>
      <c r="I16" s="8" t="n">
        <v>1</v>
      </c>
      <c r="J16" s="8" t="n">
        <v>0</v>
      </c>
      <c r="K16" s="8" t="n">
        <v>1</v>
      </c>
      <c r="L16" s="8" t="n">
        <v>1</v>
      </c>
      <c r="M16" s="8" t="n">
        <v>1</v>
      </c>
      <c r="N16" s="8" t="n">
        <v>0</v>
      </c>
      <c r="O16" s="8" t="n">
        <v>1</v>
      </c>
      <c r="P16" s="8" t="n">
        <v>0</v>
      </c>
    </row>
    <row r="18" customFormat="false" ht="15" hidden="false" customHeight="false" outlineLevel="0" collapsed="false">
      <c r="B18" s="3" t="s">
        <v>283</v>
      </c>
      <c r="D18" s="11" t="n">
        <f aca="false">SUM(D5:D16)</f>
        <v>8</v>
      </c>
      <c r="E18" s="11" t="n">
        <f aca="false">SUM(E5:E16)</f>
        <v>7</v>
      </c>
      <c r="F18" s="11" t="n">
        <f aca="false">SUM(F5:F16)</f>
        <v>9</v>
      </c>
      <c r="G18" s="11" t="n">
        <f aca="false">SUM(G5:G16)</f>
        <v>8</v>
      </c>
      <c r="H18" s="11" t="n">
        <f aca="false">SUM(H5:H16)</f>
        <v>6</v>
      </c>
      <c r="I18" s="11" t="n">
        <f aca="false">SUM(I5:I16)</f>
        <v>9</v>
      </c>
      <c r="J18" s="11" t="n">
        <f aca="false">SUM(J5:J16)</f>
        <v>7</v>
      </c>
      <c r="K18" s="11" t="n">
        <f aca="false">SUM(K5:K16)</f>
        <v>9</v>
      </c>
      <c r="L18" s="11" t="n">
        <f aca="false">SUM(L5:L16)</f>
        <v>7</v>
      </c>
      <c r="M18" s="11" t="n">
        <f aca="false">SUM(M5:M16)</f>
        <v>6</v>
      </c>
      <c r="N18" s="11" t="n">
        <f aca="false">SUM(N5:N16)</f>
        <v>7</v>
      </c>
      <c r="O18" s="11" t="n">
        <f aca="false">SUM(O5:O16)</f>
        <v>6</v>
      </c>
      <c r="P18" s="11" t="n">
        <f aca="false">SUM(P5:P16)</f>
        <v>6</v>
      </c>
    </row>
    <row r="19" customFormat="false" ht="15" hidden="false" customHeight="false" outlineLevel="0" collapsed="false">
      <c r="B19" s="3" t="s">
        <v>284</v>
      </c>
      <c r="D19" s="12" t="n">
        <f aca="false">D18/COUNTA($A$5:$A$16)</f>
        <v>0.666666666666667</v>
      </c>
      <c r="E19" s="12" t="n">
        <f aca="false">E18/COUNTA($A$5:$A$16)</f>
        <v>0.583333333333333</v>
      </c>
      <c r="F19" s="12" t="n">
        <f aca="false">F18/COUNTA($A$5:$A$16)</f>
        <v>0.75</v>
      </c>
      <c r="G19" s="12" t="n">
        <f aca="false">G18/COUNTA($A$5:$A$16)</f>
        <v>0.666666666666667</v>
      </c>
      <c r="H19" s="12" t="n">
        <f aca="false">H18/COUNTA($A$5:$A$16)</f>
        <v>0.5</v>
      </c>
      <c r="I19" s="12" t="n">
        <f aca="false">I18/COUNTA($A$5:$A$16)</f>
        <v>0.75</v>
      </c>
      <c r="J19" s="12" t="n">
        <f aca="false">J18/COUNTA($A$5:$A$16)</f>
        <v>0.583333333333333</v>
      </c>
      <c r="K19" s="12" t="n">
        <f aca="false">K18/COUNTA($A$5:$A$16)</f>
        <v>0.75</v>
      </c>
      <c r="L19" s="12" t="n">
        <f aca="false">L18/COUNTA($A$5:$A$16)</f>
        <v>0.583333333333333</v>
      </c>
      <c r="M19" s="12" t="n">
        <f aca="false">M18/COUNTA($A$5:$A$16)</f>
        <v>0.5</v>
      </c>
      <c r="N19" s="12" t="n">
        <f aca="false">N18/COUNTA($A$5:$A$16)</f>
        <v>0.583333333333333</v>
      </c>
      <c r="O19" s="12" t="n">
        <f aca="false">O18/COUNTA($A$5:$A$16)</f>
        <v>0.5</v>
      </c>
      <c r="P19" s="12" t="n">
        <f aca="false">P18/COUNTA($A$5:$A$16)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58"/>
    <col collapsed="false" customWidth="true" hidden="false" outlineLevel="0" max="9" min="9" style="0" width="42"/>
  </cols>
  <sheetData>
    <row r="1" customFormat="false" ht="17.35" hidden="false" customHeight="false" outlineLevel="0" collapsed="false">
      <c r="A1" s="1" t="s">
        <v>285</v>
      </c>
    </row>
    <row r="2" customFormat="false" ht="15" hidden="false" customHeight="false" outlineLevel="0" collapsed="false">
      <c r="A2" s="2" t="s">
        <v>286</v>
      </c>
    </row>
    <row r="4" customFormat="false" ht="30" hidden="false" customHeight="true" outlineLevel="0" collapsed="false">
      <c r="A4" s="5" t="s">
        <v>287</v>
      </c>
      <c r="B4" s="5" t="s">
        <v>288</v>
      </c>
      <c r="C4" s="5" t="s">
        <v>289</v>
      </c>
      <c r="D4" s="5" t="s">
        <v>13</v>
      </c>
      <c r="E4" s="5" t="s">
        <v>290</v>
      </c>
      <c r="F4" s="5" t="s">
        <v>291</v>
      </c>
      <c r="G4" s="5" t="s">
        <v>292</v>
      </c>
      <c r="H4" s="5" t="s">
        <v>293</v>
      </c>
      <c r="I4" s="5" t="s">
        <v>294</v>
      </c>
    </row>
    <row r="5" customFormat="false" ht="48" hidden="false" customHeight="true" outlineLevel="0" collapsed="false">
      <c r="A5" s="6" t="n">
        <f aca="false">RANK(E5,$E$5:$E$14)</f>
        <v>1</v>
      </c>
      <c r="B5" s="6" t="s">
        <v>295</v>
      </c>
      <c r="C5" s="7" t="s">
        <v>296</v>
      </c>
      <c r="D5" s="7" t="s">
        <v>297</v>
      </c>
      <c r="E5" s="6" t="n">
        <f aca="false">Кодирование!I18</f>
        <v>9</v>
      </c>
      <c r="F5" s="13" t="n">
        <f aca="false">Кодирование!I19</f>
        <v>0.75</v>
      </c>
      <c r="G5" s="6" t="str">
        <f aca="false">IF(F5&gt;=0.75,"Критично",IF(F5&gt;=0.58,"Высокий","Значимый"))</f>
        <v>Критично</v>
      </c>
      <c r="H5" s="7" t="s">
        <v>298</v>
      </c>
      <c r="I5" s="7" t="s">
        <v>299</v>
      </c>
    </row>
    <row r="6" customFormat="false" ht="48" hidden="false" customHeight="true" outlineLevel="0" collapsed="false">
      <c r="A6" s="8" t="n">
        <f aca="false">RANK(E6,$E$5:$E$14)</f>
        <v>1</v>
      </c>
      <c r="B6" s="8" t="s">
        <v>300</v>
      </c>
      <c r="C6" s="9" t="s">
        <v>301</v>
      </c>
      <c r="D6" s="9" t="s">
        <v>302</v>
      </c>
      <c r="E6" s="8" t="n">
        <f aca="false">Кодирование!K18</f>
        <v>9</v>
      </c>
      <c r="F6" s="14" t="n">
        <f aca="false">Кодирование!K19</f>
        <v>0.75</v>
      </c>
      <c r="G6" s="8" t="str">
        <f aca="false">IF(F6&gt;=0.75,"Критично",IF(F6&gt;=0.58,"Высокий","Значимый"))</f>
        <v>Критично</v>
      </c>
      <c r="H6" s="9" t="s">
        <v>303</v>
      </c>
      <c r="I6" s="9" t="s">
        <v>304</v>
      </c>
    </row>
    <row r="7" customFormat="false" ht="48" hidden="false" customHeight="true" outlineLevel="0" collapsed="false">
      <c r="A7" s="6" t="n">
        <f aca="false">RANK(E7,$E$5:$E$14)</f>
        <v>3</v>
      </c>
      <c r="B7" s="6" t="s">
        <v>305</v>
      </c>
      <c r="C7" s="7" t="s">
        <v>306</v>
      </c>
      <c r="D7" s="7" t="s">
        <v>307</v>
      </c>
      <c r="E7" s="6" t="n">
        <f aca="false">Кодирование!G18</f>
        <v>8</v>
      </c>
      <c r="F7" s="13" t="n">
        <f aca="false">Кодирование!G19</f>
        <v>0.666666666666667</v>
      </c>
      <c r="G7" s="6" t="str">
        <f aca="false">IF(F7&gt;=0.75,"Критично",IF(F7&gt;=0.58,"Высокий","Значимый"))</f>
        <v>Высокий</v>
      </c>
      <c r="H7" s="7" t="s">
        <v>308</v>
      </c>
      <c r="I7" s="7" t="s">
        <v>309</v>
      </c>
    </row>
    <row r="8" customFormat="false" ht="48" hidden="false" customHeight="true" outlineLevel="0" collapsed="false">
      <c r="A8" s="8" t="n">
        <f aca="false">RANK(E8,$E$5:$E$14)</f>
        <v>4</v>
      </c>
      <c r="B8" s="8" t="s">
        <v>310</v>
      </c>
      <c r="C8" s="9" t="s">
        <v>311</v>
      </c>
      <c r="D8" s="9" t="s">
        <v>312</v>
      </c>
      <c r="E8" s="8" t="n">
        <f aca="false">Кодирование!J18</f>
        <v>7</v>
      </c>
      <c r="F8" s="14" t="n">
        <f aca="false">Кодирование!J19</f>
        <v>0.583333333333333</v>
      </c>
      <c r="G8" s="8" t="str">
        <f aca="false">IF(F8&gt;=0.75,"Критично",IF(F8&gt;=0.58,"Высокий","Значимый"))</f>
        <v>Высокий</v>
      </c>
      <c r="H8" s="9" t="s">
        <v>313</v>
      </c>
      <c r="I8" s="9" t="s">
        <v>314</v>
      </c>
    </row>
    <row r="9" customFormat="false" ht="48" hidden="false" customHeight="true" outlineLevel="0" collapsed="false">
      <c r="A9" s="6" t="n">
        <f aca="false">RANK(E9,$E$5:$E$14)</f>
        <v>4</v>
      </c>
      <c r="B9" s="6" t="s">
        <v>315</v>
      </c>
      <c r="C9" s="7" t="s">
        <v>316</v>
      </c>
      <c r="D9" s="7" t="s">
        <v>317</v>
      </c>
      <c r="E9" s="6" t="n">
        <f aca="false">Кодирование!L18</f>
        <v>7</v>
      </c>
      <c r="F9" s="13" t="n">
        <f aca="false">Кодирование!L19</f>
        <v>0.583333333333333</v>
      </c>
      <c r="G9" s="6" t="str">
        <f aca="false">IF(F9&gt;=0.75,"Критично",IF(F9&gt;=0.58,"Высокий","Значимый"))</f>
        <v>Высокий</v>
      </c>
      <c r="H9" s="7" t="s">
        <v>318</v>
      </c>
      <c r="I9" s="7" t="s">
        <v>319</v>
      </c>
    </row>
    <row r="10" customFormat="false" ht="48" hidden="false" customHeight="true" outlineLevel="0" collapsed="false">
      <c r="A10" s="8" t="n">
        <f aca="false">RANK(E10,$E$5:$E$14)</f>
        <v>4</v>
      </c>
      <c r="B10" s="8" t="s">
        <v>320</v>
      </c>
      <c r="C10" s="9" t="s">
        <v>321</v>
      </c>
      <c r="D10" s="9" t="s">
        <v>312</v>
      </c>
      <c r="E10" s="8" t="n">
        <f aca="false">Кодирование!N18</f>
        <v>7</v>
      </c>
      <c r="F10" s="14" t="n">
        <f aca="false">Кодирование!N19</f>
        <v>0.583333333333333</v>
      </c>
      <c r="G10" s="8" t="str">
        <f aca="false">IF(F10&gt;=0.75,"Критично",IF(F10&gt;=0.58,"Высокий","Значимый"))</f>
        <v>Высокий</v>
      </c>
      <c r="H10" s="9" t="s">
        <v>322</v>
      </c>
      <c r="I10" s="9" t="s">
        <v>323</v>
      </c>
    </row>
    <row r="11" customFormat="false" ht="48" hidden="false" customHeight="true" outlineLevel="0" collapsed="false">
      <c r="A11" s="6" t="n">
        <f aca="false">RANK(E11,$E$5:$E$14)</f>
        <v>7</v>
      </c>
      <c r="B11" s="6" t="s">
        <v>324</v>
      </c>
      <c r="C11" s="7" t="s">
        <v>325</v>
      </c>
      <c r="D11" s="7" t="s">
        <v>307</v>
      </c>
      <c r="E11" s="6" t="n">
        <f aca="false">Кодирование!H18</f>
        <v>6</v>
      </c>
      <c r="F11" s="13" t="n">
        <f aca="false">Кодирование!H19</f>
        <v>0.5</v>
      </c>
      <c r="G11" s="6" t="str">
        <f aca="false">IF(F11&gt;=0.75,"Критично",IF(F11&gt;=0.58,"Высокий","Значимый"))</f>
        <v>Значимый</v>
      </c>
      <c r="H11" s="7" t="s">
        <v>326</v>
      </c>
      <c r="I11" s="7" t="s">
        <v>327</v>
      </c>
    </row>
    <row r="12" customFormat="false" ht="48" hidden="false" customHeight="true" outlineLevel="0" collapsed="false">
      <c r="A12" s="8" t="n">
        <f aca="false">RANK(E12,$E$5:$E$14)</f>
        <v>7</v>
      </c>
      <c r="B12" s="8" t="s">
        <v>328</v>
      </c>
      <c r="C12" s="9" t="s">
        <v>329</v>
      </c>
      <c r="D12" s="9" t="s">
        <v>307</v>
      </c>
      <c r="E12" s="8" t="n">
        <f aca="false">Кодирование!M18</f>
        <v>6</v>
      </c>
      <c r="F12" s="14" t="n">
        <f aca="false">Кодирование!M19</f>
        <v>0.5</v>
      </c>
      <c r="G12" s="8" t="str">
        <f aca="false">IF(F12&gt;=0.75,"Критично",IF(F12&gt;=0.58,"Высокий","Значимый"))</f>
        <v>Значимый</v>
      </c>
      <c r="H12" s="9" t="s">
        <v>330</v>
      </c>
      <c r="I12" s="9" t="s">
        <v>331</v>
      </c>
    </row>
    <row r="13" customFormat="false" ht="48" hidden="false" customHeight="true" outlineLevel="0" collapsed="false">
      <c r="A13" s="6" t="n">
        <f aca="false">RANK(E13,$E$5:$E$14)</f>
        <v>7</v>
      </c>
      <c r="B13" s="6" t="s">
        <v>332</v>
      </c>
      <c r="C13" s="7" t="s">
        <v>333</v>
      </c>
      <c r="D13" s="7" t="s">
        <v>334</v>
      </c>
      <c r="E13" s="6" t="n">
        <f aca="false">Кодирование!O18</f>
        <v>6</v>
      </c>
      <c r="F13" s="13" t="n">
        <f aca="false">Кодирование!O19</f>
        <v>0.5</v>
      </c>
      <c r="G13" s="6" t="str">
        <f aca="false">IF(F13&gt;=0.75,"Критично",IF(F13&gt;=0.58,"Высокий","Значимый"))</f>
        <v>Значимый</v>
      </c>
      <c r="H13" s="7" t="s">
        <v>335</v>
      </c>
      <c r="I13" s="7" t="s">
        <v>336</v>
      </c>
    </row>
    <row r="14" customFormat="false" ht="48" hidden="false" customHeight="true" outlineLevel="0" collapsed="false">
      <c r="A14" s="8" t="n">
        <f aca="false">RANK(E14,$E$5:$E$14)</f>
        <v>7</v>
      </c>
      <c r="B14" s="8" t="s">
        <v>337</v>
      </c>
      <c r="C14" s="9" t="s">
        <v>338</v>
      </c>
      <c r="D14" s="9" t="s">
        <v>317</v>
      </c>
      <c r="E14" s="8" t="n">
        <f aca="false">Кодирование!P18</f>
        <v>6</v>
      </c>
      <c r="F14" s="14" t="n">
        <f aca="false">Кодирование!P19</f>
        <v>0.5</v>
      </c>
      <c r="G14" s="8" t="str">
        <f aca="false">IF(F14&gt;=0.75,"Критично",IF(F14&gt;=0.58,"Высокий","Значимый"))</f>
        <v>Значимый</v>
      </c>
      <c r="H14" s="9" t="s">
        <v>339</v>
      </c>
      <c r="I14" s="9" t="s">
        <v>340</v>
      </c>
    </row>
    <row r="16" customFormat="false" ht="15" hidden="false" customHeight="false" outlineLevel="0" collapsed="false">
      <c r="A16" s="15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342</v>
      </c>
    </row>
    <row r="4" customFormat="false" ht="30" hidden="false" customHeight="true" outlineLevel="0" collapsed="false">
      <c r="A4" s="5" t="s">
        <v>343</v>
      </c>
      <c r="B4" s="5" t="s">
        <v>344</v>
      </c>
      <c r="C4" s="5" t="s">
        <v>291</v>
      </c>
    </row>
    <row r="5" customFormat="false" ht="15" hidden="false" customHeight="false" outlineLevel="0" collapsed="false">
      <c r="A5" s="7" t="s">
        <v>345</v>
      </c>
      <c r="B5" s="6" t="n">
        <f aca="false">Кодирование!D18</f>
        <v>8</v>
      </c>
      <c r="C5" s="13" t="n">
        <f aca="false">Кодирование!D19</f>
        <v>0.666666666666667</v>
      </c>
    </row>
    <row r="6" customFormat="false" ht="15" hidden="false" customHeight="false" outlineLevel="0" collapsed="false">
      <c r="A6" s="7" t="s">
        <v>346</v>
      </c>
      <c r="B6" s="6" t="n">
        <f aca="false">Кодирование!E18</f>
        <v>7</v>
      </c>
      <c r="C6" s="13" t="n">
        <f aca="false">Кодирование!E19</f>
        <v>0.583333333333333</v>
      </c>
    </row>
    <row r="7" customFormat="false" ht="15" hidden="false" customHeight="false" outlineLevel="0" collapsed="false">
      <c r="A7" s="7" t="s">
        <v>347</v>
      </c>
      <c r="B7" s="6" t="n">
        <f aca="false">Кодирование!F18</f>
        <v>9</v>
      </c>
      <c r="C7" s="13" t="n">
        <f aca="false">Кодирование!F19</f>
        <v>0.75</v>
      </c>
    </row>
    <row r="9" customFormat="false" ht="15" hidden="false" customHeight="false" outlineLevel="0" collapsed="false">
      <c r="A9" s="7" t="s">
        <v>348</v>
      </c>
      <c r="B9" s="6" t="n">
        <f aca="false">Кодирование!G18</f>
        <v>8</v>
      </c>
      <c r="C9" s="13" t="n">
        <f aca="false">Кодирование!G18/Кодирование!D18</f>
        <v>1</v>
      </c>
    </row>
    <row r="10" customFormat="false" ht="15" hidden="false" customHeight="false" outlineLevel="0" collapsed="false">
      <c r="A10" s="7" t="s">
        <v>349</v>
      </c>
      <c r="B10" s="6" t="n">
        <f aca="false">SUMPRODUCT(Кодирование!D5:D16,Кодирование!H5:H16)</f>
        <v>5</v>
      </c>
      <c r="C10" s="13" t="n">
        <f aca="false">B10/Кодирование!D18</f>
        <v>0.625</v>
      </c>
    </row>
    <row r="12" customFormat="false" ht="15" hidden="false" customHeight="false" outlineLevel="0" collapsed="false">
      <c r="A12" s="3" t="s">
        <v>350</v>
      </c>
    </row>
    <row r="13" customFormat="false" ht="30" hidden="false" customHeight="true" outlineLevel="0" collapsed="false">
      <c r="A13" s="5" t="s">
        <v>351</v>
      </c>
      <c r="B13" s="5" t="s">
        <v>17</v>
      </c>
      <c r="C13" s="5" t="s">
        <v>352</v>
      </c>
      <c r="D13" s="5" t="s">
        <v>353</v>
      </c>
    </row>
    <row r="14" customFormat="false" ht="15" hidden="false" customHeight="false" outlineLevel="0" collapsed="false">
      <c r="A14" s="7" t="s">
        <v>354</v>
      </c>
      <c r="B14" s="6" t="n">
        <f aca="false">COUNTIF(Каналы!C$5:C$16,"*Telegram*")</f>
        <v>8</v>
      </c>
      <c r="C14" s="6" t="n">
        <f aca="false">COUNTIF(Каналы!D$5:D$16,"*Telegram*")</f>
        <v>5</v>
      </c>
      <c r="D14" s="6" t="n">
        <f aca="false">COUNTIF(Каналы!E$5:E$16,"*Telegram*")</f>
        <v>6</v>
      </c>
    </row>
    <row r="15" customFormat="false" ht="15" hidden="false" customHeight="false" outlineLevel="0" collapsed="false">
      <c r="A15" s="9" t="s">
        <v>355</v>
      </c>
      <c r="B15" s="8" t="n">
        <f aca="false">COUNTIF(Каналы!C$5:C$16,"*ВК*")</f>
        <v>4</v>
      </c>
      <c r="C15" s="8" t="n">
        <f aca="false">COUNTIF(Каналы!D$5:D$16,"*ВК*")</f>
        <v>4</v>
      </c>
      <c r="D15" s="8" t="n">
        <f aca="false">COUNTIF(Каналы!E$5:E$16,"*ВК*")</f>
        <v>5</v>
      </c>
    </row>
    <row r="16" customFormat="false" ht="15" hidden="false" customHeight="false" outlineLevel="0" collapsed="false">
      <c r="A16" s="7" t="s">
        <v>356</v>
      </c>
      <c r="B16" s="6" t="n">
        <f aca="false">COUNTIF(Каналы!C$5:C$16,"*YouTube*")</f>
        <v>9</v>
      </c>
      <c r="C16" s="6" t="n">
        <f aca="false">COUNTIF(Каналы!D$5:D$16,"*YouTube*")</f>
        <v>0</v>
      </c>
      <c r="D16" s="6" t="n">
        <f aca="false">COUNTIF(Каналы!E$5:E$16,"*YouTube*")</f>
        <v>0</v>
      </c>
    </row>
    <row r="17" customFormat="false" ht="15" hidden="false" customHeight="false" outlineLevel="0" collapsed="false">
      <c r="A17" s="9" t="s">
        <v>357</v>
      </c>
      <c r="B17" s="8" t="n">
        <f aca="false">COUNTIF(Каналы!C$5:C$16,"*Дзен*")</f>
        <v>3</v>
      </c>
      <c r="C17" s="8" t="n">
        <f aca="false">COUNTIF(Каналы!D$5:D$16,"*Дзен*")</f>
        <v>0</v>
      </c>
      <c r="D17" s="8" t="n">
        <f aca="false">COUNTIF(Каналы!E$5:E$16,"*Дзен*")</f>
        <v>0</v>
      </c>
    </row>
    <row r="18" customFormat="false" ht="15" hidden="false" customHeight="false" outlineLevel="0" collapsed="false">
      <c r="A18" s="7" t="s">
        <v>358</v>
      </c>
      <c r="B18" s="6" t="n">
        <f aca="false">COUNTIF(Каналы!C$5:C$16,"*Одноклассники*")</f>
        <v>1</v>
      </c>
      <c r="C18" s="6" t="n">
        <f aca="false">COUNTIF(Каналы!D$5:D$16,"*Одноклассники*")</f>
        <v>0</v>
      </c>
      <c r="D18" s="6" t="n">
        <f aca="false">COUNTIF(Каналы!E$5:E$16,"*Одноклассники*")</f>
        <v>1</v>
      </c>
    </row>
    <row r="19" customFormat="false" ht="15" hidden="false" customHeight="false" outlineLevel="0" collapsed="false">
      <c r="A19" s="9" t="s">
        <v>359</v>
      </c>
      <c r="B19" s="8" t="n">
        <f aca="false">COUNTIF(Каналы!C$5:C$16,"*Drive2*")</f>
        <v>1</v>
      </c>
      <c r="C19" s="8" t="n">
        <f aca="false">COUNTIF(Каналы!D$5:D$16,"*Drive2*")</f>
        <v>1</v>
      </c>
      <c r="D19" s="8" t="n">
        <f aca="false">COUNTIF(Каналы!E$5:E$16,"*Drive2*")</f>
        <v>0</v>
      </c>
    </row>
    <row r="20" customFormat="false" ht="15" hidden="false" customHeight="false" outlineLevel="0" collapsed="false">
      <c r="A20" s="7" t="s">
        <v>360</v>
      </c>
      <c r="B20" s="6" t="n">
        <f aca="false">COUNTIF(Каналы!C$5:C$16,"*Сетка*")</f>
        <v>0</v>
      </c>
      <c r="C20" s="6" t="n">
        <f aca="false">COUNTIF(Каналы!D$5:D$16,"*Сетка*")</f>
        <v>1</v>
      </c>
      <c r="D20" s="6" t="n">
        <f aca="false">COUNTIF(Каналы!E$5:E$16,"*Сетка*")</f>
        <v>0</v>
      </c>
    </row>
    <row r="21" customFormat="false" ht="15" hidden="false" customHeight="false" outlineLevel="0" collapsed="false">
      <c r="A21" s="9" t="s">
        <v>361</v>
      </c>
      <c r="B21" s="8" t="n">
        <f aca="false">COUNTIF(Каналы!C$5:C$16,"*друзья*")</f>
        <v>9</v>
      </c>
      <c r="C21" s="8" t="n">
        <f aca="false">COUNTIF(Каналы!D$5:D$16,"*друзья*")</f>
        <v>7</v>
      </c>
      <c r="D21" s="8" t="n">
        <f aca="false">COUNTIF(Каналы!E$5:E$16,"*друзья*")</f>
        <v>0</v>
      </c>
    </row>
    <row r="22" customFormat="false" ht="15" hidden="false" customHeight="false" outlineLevel="0" collapsed="false">
      <c r="A22" s="7" t="s">
        <v>362</v>
      </c>
      <c r="B22" s="6" t="n">
        <f aca="false">COUNTIF(Каналы!C$5:C$16,"*Яндекс Карты*")</f>
        <v>0</v>
      </c>
      <c r="C22" s="6" t="n">
        <f aca="false">COUNTIF(Каналы!D$5:D$16,"*Яндекс Карты*")</f>
        <v>0</v>
      </c>
      <c r="D22" s="6" t="n">
        <f aca="false">COUNTIF(Каналы!E$5:E$16,"*Яндекс Карты*")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4" min="3" style="0" width="36"/>
    <col collapsed="false" customWidth="true" hidden="false" outlineLevel="0" max="5" min="5" style="0" width="32"/>
  </cols>
  <sheetData>
    <row r="1" customFormat="false" ht="17.35" hidden="false" customHeight="false" outlineLevel="0" collapsed="false">
      <c r="A1" s="1" t="s">
        <v>363</v>
      </c>
    </row>
    <row r="4" customFormat="false" ht="30" hidden="false" customHeight="true" outlineLevel="0" collapsed="false">
      <c r="A4" s="5" t="s">
        <v>36</v>
      </c>
      <c r="B4" s="5" t="s">
        <v>133</v>
      </c>
      <c r="C4" s="5" t="s">
        <v>364</v>
      </c>
      <c r="D4" s="5" t="s">
        <v>365</v>
      </c>
      <c r="E4" s="5" t="s">
        <v>366</v>
      </c>
    </row>
    <row r="5" customFormat="false" ht="15" hidden="false" customHeight="false" outlineLevel="0" collapsed="false">
      <c r="A5" s="6" t="s">
        <v>48</v>
      </c>
      <c r="B5" s="7" t="s">
        <v>49</v>
      </c>
      <c r="C5" s="7" t="s">
        <v>367</v>
      </c>
      <c r="D5" s="7" t="s">
        <v>368</v>
      </c>
      <c r="E5" s="7" t="s">
        <v>369</v>
      </c>
    </row>
    <row r="6" customFormat="false" ht="15" hidden="false" customHeight="false" outlineLevel="0" collapsed="false">
      <c r="A6" s="8" t="s">
        <v>57</v>
      </c>
      <c r="B6" s="9" t="s">
        <v>58</v>
      </c>
      <c r="C6" s="9" t="s">
        <v>370</v>
      </c>
      <c r="D6" s="9" t="s">
        <v>371</v>
      </c>
      <c r="E6" s="9" t="s">
        <v>372</v>
      </c>
    </row>
    <row r="7" customFormat="false" ht="15" hidden="false" customHeight="false" outlineLevel="0" collapsed="false">
      <c r="A7" s="6" t="s">
        <v>63</v>
      </c>
      <c r="B7" s="7" t="s">
        <v>64</v>
      </c>
      <c r="C7" s="7" t="s">
        <v>373</v>
      </c>
      <c r="D7" s="7" t="s">
        <v>373</v>
      </c>
      <c r="E7" s="7" t="s">
        <v>368</v>
      </c>
    </row>
    <row r="8" customFormat="false" ht="15" hidden="false" customHeight="false" outlineLevel="0" collapsed="false">
      <c r="A8" s="8" t="s">
        <v>72</v>
      </c>
      <c r="B8" s="9" t="s">
        <v>73</v>
      </c>
      <c r="C8" s="9" t="s">
        <v>374</v>
      </c>
      <c r="D8" s="9" t="s">
        <v>375</v>
      </c>
      <c r="E8" s="9" t="s">
        <v>368</v>
      </c>
    </row>
    <row r="9" customFormat="false" ht="15" hidden="false" customHeight="false" outlineLevel="0" collapsed="false">
      <c r="A9" s="6" t="s">
        <v>78</v>
      </c>
      <c r="B9" s="7" t="s">
        <v>79</v>
      </c>
      <c r="C9" s="7" t="s">
        <v>376</v>
      </c>
      <c r="D9" s="7" t="s">
        <v>376</v>
      </c>
      <c r="E9" s="7" t="s">
        <v>368</v>
      </c>
    </row>
    <row r="10" customFormat="false" ht="15" hidden="false" customHeight="false" outlineLevel="0" collapsed="false">
      <c r="A10" s="8" t="s">
        <v>86</v>
      </c>
      <c r="B10" s="9" t="s">
        <v>87</v>
      </c>
      <c r="C10" s="9" t="s">
        <v>377</v>
      </c>
      <c r="D10" s="9" t="s">
        <v>368</v>
      </c>
      <c r="E10" s="9" t="s">
        <v>378</v>
      </c>
    </row>
    <row r="11" customFormat="false" ht="15" hidden="false" customHeight="false" outlineLevel="0" collapsed="false">
      <c r="A11" s="6" t="s">
        <v>91</v>
      </c>
      <c r="B11" s="7" t="s">
        <v>92</v>
      </c>
      <c r="C11" s="7" t="s">
        <v>379</v>
      </c>
      <c r="D11" s="7" t="s">
        <v>373</v>
      </c>
      <c r="E11" s="7" t="s">
        <v>380</v>
      </c>
    </row>
    <row r="12" customFormat="false" ht="15" hidden="false" customHeight="false" outlineLevel="0" collapsed="false">
      <c r="A12" s="8" t="s">
        <v>98</v>
      </c>
      <c r="B12" s="9" t="s">
        <v>99</v>
      </c>
      <c r="C12" s="9" t="s">
        <v>367</v>
      </c>
      <c r="D12" s="9" t="s">
        <v>376</v>
      </c>
      <c r="E12" s="9" t="s">
        <v>381</v>
      </c>
    </row>
    <row r="13" customFormat="false" ht="15" hidden="false" customHeight="false" outlineLevel="0" collapsed="false">
      <c r="A13" s="6" t="s">
        <v>104</v>
      </c>
      <c r="B13" s="7" t="s">
        <v>105</v>
      </c>
      <c r="C13" s="7" t="s">
        <v>377</v>
      </c>
      <c r="D13" s="7" t="s">
        <v>368</v>
      </c>
      <c r="E13" s="7" t="s">
        <v>381</v>
      </c>
    </row>
    <row r="14" customFormat="false" ht="15" hidden="false" customHeight="false" outlineLevel="0" collapsed="false">
      <c r="A14" s="8" t="s">
        <v>110</v>
      </c>
      <c r="B14" s="9" t="s">
        <v>111</v>
      </c>
      <c r="C14" s="9" t="s">
        <v>382</v>
      </c>
      <c r="D14" s="9" t="s">
        <v>368</v>
      </c>
      <c r="E14" s="9" t="s">
        <v>368</v>
      </c>
    </row>
    <row r="15" customFormat="false" ht="15" hidden="false" customHeight="false" outlineLevel="0" collapsed="false">
      <c r="A15" s="6" t="s">
        <v>116</v>
      </c>
      <c r="B15" s="7" t="s">
        <v>117</v>
      </c>
      <c r="C15" s="7" t="s">
        <v>383</v>
      </c>
      <c r="D15" s="7" t="s">
        <v>384</v>
      </c>
      <c r="E15" s="7" t="s">
        <v>369</v>
      </c>
    </row>
    <row r="16" customFormat="false" ht="15" hidden="false" customHeight="false" outlineLevel="0" collapsed="false">
      <c r="A16" s="8" t="s">
        <v>121</v>
      </c>
      <c r="B16" s="9" t="s">
        <v>122</v>
      </c>
      <c r="C16" s="9" t="s">
        <v>385</v>
      </c>
      <c r="D16" s="9" t="s">
        <v>376</v>
      </c>
      <c r="E16" s="9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34"/>
  </cols>
  <sheetData>
    <row r="1" customFormat="false" ht="17.35" hidden="false" customHeight="false" outlineLevel="0" collapsed="false">
      <c r="A1" s="1" t="s">
        <v>386</v>
      </c>
    </row>
    <row r="2" customFormat="false" ht="15" hidden="false" customHeight="false" outlineLevel="0" collapsed="false">
      <c r="A2" s="2" t="s">
        <v>387</v>
      </c>
    </row>
    <row r="4" customFormat="false" ht="30" hidden="false" customHeight="true" outlineLevel="0" collapsed="false">
      <c r="A4" s="5" t="s">
        <v>388</v>
      </c>
      <c r="B4" s="5" t="s">
        <v>389</v>
      </c>
      <c r="C4" s="5" t="s">
        <v>297</v>
      </c>
      <c r="D4" s="5" t="s">
        <v>312</v>
      </c>
      <c r="E4" s="5" t="s">
        <v>390</v>
      </c>
      <c r="F4" s="5" t="s">
        <v>302</v>
      </c>
      <c r="G4" s="5" t="s">
        <v>334</v>
      </c>
      <c r="H4" s="5" t="s">
        <v>317</v>
      </c>
    </row>
    <row r="5" customFormat="false" ht="61.5" hidden="false" customHeight="true" outlineLevel="0" collapsed="false">
      <c r="A5" s="11" t="s">
        <v>391</v>
      </c>
      <c r="B5" s="7" t="s">
        <v>392</v>
      </c>
      <c r="C5" s="7" t="s">
        <v>393</v>
      </c>
      <c r="D5" s="7" t="s">
        <v>394</v>
      </c>
      <c r="E5" s="7" t="s">
        <v>395</v>
      </c>
      <c r="F5" s="7" t="s">
        <v>396</v>
      </c>
      <c r="G5" s="7" t="s">
        <v>397</v>
      </c>
      <c r="H5" s="7" t="s">
        <v>398</v>
      </c>
    </row>
    <row r="6" customFormat="false" ht="111.75" hidden="false" customHeight="true" outlineLevel="0" collapsed="false">
      <c r="A6" s="11" t="s">
        <v>399</v>
      </c>
      <c r="B6" s="7" t="s">
        <v>400</v>
      </c>
      <c r="C6" s="7" t="s">
        <v>401</v>
      </c>
      <c r="D6" s="7" t="s">
        <v>402</v>
      </c>
      <c r="E6" s="7" t="s">
        <v>403</v>
      </c>
      <c r="F6" s="7" t="s">
        <v>404</v>
      </c>
      <c r="G6" s="7" t="s">
        <v>405</v>
      </c>
      <c r="H6" s="7" t="s">
        <v>406</v>
      </c>
    </row>
    <row r="7" customFormat="false" ht="111.75" hidden="false" customHeight="true" outlineLevel="0" collapsed="false">
      <c r="A7" s="11" t="s">
        <v>407</v>
      </c>
      <c r="B7" s="7" t="s">
        <v>408</v>
      </c>
      <c r="C7" s="7" t="s">
        <v>409</v>
      </c>
      <c r="D7" s="7" t="s">
        <v>410</v>
      </c>
      <c r="E7" s="7" t="s">
        <v>411</v>
      </c>
      <c r="F7" s="7" t="s">
        <v>412</v>
      </c>
      <c r="G7" s="7" t="s">
        <v>413</v>
      </c>
      <c r="H7" s="7" t="s">
        <v>414</v>
      </c>
    </row>
    <row r="8" customFormat="false" ht="111.75" hidden="false" customHeight="true" outlineLevel="0" collapsed="false">
      <c r="A8" s="11" t="s">
        <v>415</v>
      </c>
      <c r="B8" s="7" t="s">
        <v>416</v>
      </c>
      <c r="C8" s="7" t="s">
        <v>417</v>
      </c>
      <c r="D8" s="7" t="s">
        <v>418</v>
      </c>
      <c r="E8" s="7" t="s">
        <v>419</v>
      </c>
      <c r="F8" s="7" t="s">
        <v>420</v>
      </c>
      <c r="G8" s="7" t="s">
        <v>421</v>
      </c>
      <c r="H8" s="7" t="s">
        <v>422</v>
      </c>
    </row>
    <row r="9" customFormat="false" ht="111.75" hidden="false" customHeight="true" outlineLevel="0" collapsed="false">
      <c r="A9" s="11" t="s">
        <v>423</v>
      </c>
      <c r="B9" s="16" t="s">
        <v>424</v>
      </c>
      <c r="C9" s="16" t="s">
        <v>425</v>
      </c>
      <c r="D9" s="16" t="s">
        <v>426</v>
      </c>
      <c r="E9" s="16" t="s">
        <v>427</v>
      </c>
      <c r="F9" s="16" t="s">
        <v>428</v>
      </c>
      <c r="G9" s="16" t="s">
        <v>429</v>
      </c>
      <c r="H9" s="16" t="s">
        <v>430</v>
      </c>
    </row>
    <row r="10" customFormat="false" ht="111.75" hidden="false" customHeight="true" outlineLevel="0" collapsed="false">
      <c r="A10" s="11" t="s">
        <v>431</v>
      </c>
      <c r="B10" s="17" t="s">
        <v>432</v>
      </c>
      <c r="C10" s="17" t="s">
        <v>433</v>
      </c>
      <c r="D10" s="17" t="s">
        <v>434</v>
      </c>
      <c r="E10" s="17" t="s">
        <v>435</v>
      </c>
      <c r="F10" s="17" t="s">
        <v>436</v>
      </c>
      <c r="G10" s="17" t="s">
        <v>437</v>
      </c>
      <c r="H10" s="17" t="s">
        <v>438</v>
      </c>
    </row>
    <row r="11" customFormat="false" ht="111.75" hidden="false" customHeight="true" outlineLevel="0" collapsed="false">
      <c r="A11" s="11" t="s">
        <v>439</v>
      </c>
      <c r="B11" s="18" t="s">
        <v>440</v>
      </c>
      <c r="C11" s="18" t="s">
        <v>441</v>
      </c>
      <c r="D11" s="18" t="s">
        <v>442</v>
      </c>
      <c r="E11" s="18" t="s">
        <v>443</v>
      </c>
      <c r="F11" s="18" t="s">
        <v>444</v>
      </c>
      <c r="G11" s="18" t="s">
        <v>445</v>
      </c>
      <c r="H11" s="18" t="s">
        <v>446</v>
      </c>
    </row>
    <row r="12" customFormat="false" ht="33.75" hidden="false" customHeight="true" outlineLevel="0" collapsed="false">
      <c r="A12" s="11" t="s">
        <v>447</v>
      </c>
      <c r="B12" s="11" t="n">
        <v>4</v>
      </c>
      <c r="C12" s="11" t="n">
        <v>3</v>
      </c>
      <c r="D12" s="11" t="n">
        <v>3</v>
      </c>
      <c r="E12" s="11" t="n">
        <v>2</v>
      </c>
      <c r="F12" s="11" t="n">
        <v>3</v>
      </c>
      <c r="G12" s="11" t="n">
        <v>5</v>
      </c>
      <c r="H12" s="1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2026-09-30T20:43:04Z</dcterms:created>
  <dc:creator>openpyxl</dc:creator>
  <dc:description/>
  <dc:language>en-US</dc:language>
  <cp:lastModifiedBy/>
  <dcterms:modified xsi:type="dcterms:W3CDTF">2026-09-30T20:43:04Z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